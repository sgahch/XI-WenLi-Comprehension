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Ynchen\Desktop\RuoYi-Vue\"/>
    </mc:Choice>
  </mc:AlternateContent>
  <xr:revisionPtr revIDLastSave="0" documentId="8_{EE7839C5-934F-4FB1-B5F4-5389A62F51B7}" xr6:coauthVersionLast="47" xr6:coauthVersionMax="47" xr10:uidLastSave="{00000000-0000-0000-0000-000000000000}"/>
  <bookViews>
    <workbookView xWindow="3670" yWindow="1630" windowWidth="19200" windowHeight="9970" firstSheet="1" activeTab="1" xr2:uid="{00000000-000D-0000-FFFF-FFFF00000000}"/>
  </bookViews>
  <sheets>
    <sheet name="大数据2001班历年智育综测" sheetId="1" state="hidden" r:id="rId1"/>
    <sheet name="综合考评细表（模板）" sheetId="2" r:id="rId2"/>
    <sheet name="大一下综测+智育" sheetId="3" state="hidden" r:id="rId3"/>
    <sheet name="大一上综测+智育" sheetId="4" state="hidden" r:id="rId4"/>
    <sheet name="趋势图" sheetId="5" state="hidden" r:id="rId5"/>
  </sheets>
  <externalReferences>
    <externalReference r:id="rId6"/>
  </externalReferences>
  <definedNames>
    <definedName name="_xlnm._FilterDatabase" localSheetId="0">大数据2001班历年智育综测!$A$3:$AB$49</definedName>
    <definedName name="_xlnm._FilterDatabase" localSheetId="1" hidden="1">'综合考评细表（模板）'!$BI$2:$BO$48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5" l="1"/>
  <c r="N48" i="5"/>
  <c r="M48" i="5"/>
  <c r="H48" i="5"/>
  <c r="G48" i="5"/>
  <c r="F48" i="5"/>
  <c r="O47" i="5"/>
  <c r="N47" i="5"/>
  <c r="M47" i="5"/>
  <c r="H47" i="5"/>
  <c r="G47" i="5"/>
  <c r="F47" i="5"/>
  <c r="O46" i="5"/>
  <c r="N46" i="5"/>
  <c r="M46" i="5"/>
  <c r="H46" i="5"/>
  <c r="G46" i="5"/>
  <c r="F46" i="5"/>
  <c r="O45" i="5"/>
  <c r="N45" i="5"/>
  <c r="M45" i="5"/>
  <c r="H45" i="5"/>
  <c r="G45" i="5"/>
  <c r="F45" i="5"/>
  <c r="O44" i="5"/>
  <c r="N44" i="5"/>
  <c r="M44" i="5"/>
  <c r="H44" i="5"/>
  <c r="G44" i="5"/>
  <c r="F44" i="5"/>
  <c r="O43" i="5"/>
  <c r="N43" i="5"/>
  <c r="M43" i="5"/>
  <c r="H43" i="5"/>
  <c r="G43" i="5"/>
  <c r="F43" i="5"/>
  <c r="O42" i="5"/>
  <c r="N42" i="5"/>
  <c r="M42" i="5"/>
  <c r="H42" i="5"/>
  <c r="G42" i="5"/>
  <c r="F42" i="5"/>
  <c r="O41" i="5"/>
  <c r="N41" i="5"/>
  <c r="M41" i="5"/>
  <c r="H41" i="5"/>
  <c r="G41" i="5"/>
  <c r="F41" i="5"/>
  <c r="O40" i="5"/>
  <c r="N40" i="5"/>
  <c r="M40" i="5"/>
  <c r="H40" i="5"/>
  <c r="G40" i="5"/>
  <c r="F40" i="5"/>
  <c r="O39" i="5"/>
  <c r="N39" i="5"/>
  <c r="M39" i="5"/>
  <c r="H39" i="5"/>
  <c r="G39" i="5"/>
  <c r="F39" i="5"/>
  <c r="O38" i="5"/>
  <c r="N38" i="5"/>
  <c r="M38" i="5"/>
  <c r="H38" i="5"/>
  <c r="G38" i="5"/>
  <c r="F38" i="5"/>
  <c r="O37" i="5"/>
  <c r="N37" i="5"/>
  <c r="M37" i="5"/>
  <c r="H37" i="5"/>
  <c r="G37" i="5"/>
  <c r="F37" i="5"/>
  <c r="O36" i="5"/>
  <c r="N36" i="5"/>
  <c r="M36" i="5"/>
  <c r="H36" i="5"/>
  <c r="G36" i="5"/>
  <c r="F36" i="5"/>
  <c r="O35" i="5"/>
  <c r="N35" i="5"/>
  <c r="M35" i="5"/>
  <c r="H35" i="5"/>
  <c r="G35" i="5"/>
  <c r="F35" i="5"/>
  <c r="O34" i="5"/>
  <c r="N34" i="5"/>
  <c r="M34" i="5"/>
  <c r="H34" i="5"/>
  <c r="G34" i="5"/>
  <c r="F34" i="5"/>
  <c r="O33" i="5"/>
  <c r="N33" i="5"/>
  <c r="M33" i="5"/>
  <c r="H33" i="5"/>
  <c r="G33" i="5"/>
  <c r="F33" i="5"/>
  <c r="O32" i="5"/>
  <c r="N32" i="5"/>
  <c r="M32" i="5"/>
  <c r="H32" i="5"/>
  <c r="G32" i="5"/>
  <c r="F32" i="5"/>
  <c r="O31" i="5"/>
  <c r="N31" i="5"/>
  <c r="M31" i="5"/>
  <c r="H31" i="5"/>
  <c r="G31" i="5"/>
  <c r="F31" i="5"/>
  <c r="O30" i="5"/>
  <c r="N30" i="5"/>
  <c r="M30" i="5"/>
  <c r="H30" i="5"/>
  <c r="G30" i="5"/>
  <c r="F30" i="5"/>
  <c r="O29" i="5"/>
  <c r="N29" i="5"/>
  <c r="M29" i="5"/>
  <c r="H29" i="5"/>
  <c r="G29" i="5"/>
  <c r="F29" i="5"/>
  <c r="O28" i="5"/>
  <c r="N28" i="5"/>
  <c r="M28" i="5"/>
  <c r="H28" i="5"/>
  <c r="G28" i="5"/>
  <c r="F28" i="5"/>
  <c r="O27" i="5"/>
  <c r="N27" i="5"/>
  <c r="M27" i="5"/>
  <c r="H27" i="5"/>
  <c r="G27" i="5"/>
  <c r="F27" i="5"/>
  <c r="O26" i="5"/>
  <c r="N26" i="5"/>
  <c r="M26" i="5"/>
  <c r="H26" i="5"/>
  <c r="G26" i="5"/>
  <c r="F26" i="5"/>
  <c r="O25" i="5"/>
  <c r="N25" i="5"/>
  <c r="M25" i="5"/>
  <c r="H25" i="5"/>
  <c r="G25" i="5"/>
  <c r="F25" i="5"/>
  <c r="O24" i="5"/>
  <c r="N24" i="5"/>
  <c r="M24" i="5"/>
  <c r="H24" i="5"/>
  <c r="G24" i="5"/>
  <c r="F24" i="5"/>
  <c r="O23" i="5"/>
  <c r="N23" i="5"/>
  <c r="M23" i="5"/>
  <c r="H23" i="5"/>
  <c r="G23" i="5"/>
  <c r="F23" i="5"/>
  <c r="O22" i="5"/>
  <c r="N22" i="5"/>
  <c r="M22" i="5"/>
  <c r="H22" i="5"/>
  <c r="G22" i="5"/>
  <c r="F22" i="5"/>
  <c r="O21" i="5"/>
  <c r="N21" i="5"/>
  <c r="M21" i="5"/>
  <c r="H21" i="5"/>
  <c r="G21" i="5"/>
  <c r="F21" i="5"/>
  <c r="O20" i="5"/>
  <c r="N20" i="5"/>
  <c r="M20" i="5"/>
  <c r="H20" i="5"/>
  <c r="G20" i="5"/>
  <c r="F20" i="5"/>
  <c r="O19" i="5"/>
  <c r="N19" i="5"/>
  <c r="M19" i="5"/>
  <c r="H19" i="5"/>
  <c r="G19" i="5"/>
  <c r="F19" i="5"/>
  <c r="O18" i="5"/>
  <c r="N18" i="5"/>
  <c r="M18" i="5"/>
  <c r="H18" i="5"/>
  <c r="G18" i="5"/>
  <c r="F18" i="5"/>
  <c r="O17" i="5"/>
  <c r="N17" i="5"/>
  <c r="M17" i="5"/>
  <c r="H17" i="5"/>
  <c r="G17" i="5"/>
  <c r="F17" i="5"/>
  <c r="O16" i="5"/>
  <c r="N16" i="5"/>
  <c r="M16" i="5"/>
  <c r="H16" i="5"/>
  <c r="G16" i="5"/>
  <c r="F16" i="5"/>
  <c r="O15" i="5"/>
  <c r="N15" i="5"/>
  <c r="M15" i="5"/>
  <c r="H15" i="5"/>
  <c r="G15" i="5"/>
  <c r="F15" i="5"/>
  <c r="O14" i="5"/>
  <c r="N14" i="5"/>
  <c r="M14" i="5"/>
  <c r="H14" i="5"/>
  <c r="G14" i="5"/>
  <c r="F14" i="5"/>
  <c r="O13" i="5"/>
  <c r="N13" i="5"/>
  <c r="M13" i="5"/>
  <c r="H13" i="5"/>
  <c r="G13" i="5"/>
  <c r="F13" i="5"/>
  <c r="O12" i="5"/>
  <c r="N12" i="5"/>
  <c r="M12" i="5"/>
  <c r="H12" i="5"/>
  <c r="G12" i="5"/>
  <c r="F12" i="5"/>
  <c r="O11" i="5"/>
  <c r="N11" i="5"/>
  <c r="M11" i="5"/>
  <c r="H11" i="5"/>
  <c r="G11" i="5"/>
  <c r="F11" i="5"/>
  <c r="O10" i="5"/>
  <c r="N10" i="5"/>
  <c r="M10" i="5"/>
  <c r="H10" i="5"/>
  <c r="G10" i="5"/>
  <c r="F10" i="5"/>
  <c r="O9" i="5"/>
  <c r="N9" i="5"/>
  <c r="M9" i="5"/>
  <c r="H9" i="5"/>
  <c r="G9" i="5"/>
  <c r="F9" i="5"/>
  <c r="O8" i="5"/>
  <c r="N8" i="5"/>
  <c r="M8" i="5"/>
  <c r="H8" i="5"/>
  <c r="G8" i="5"/>
  <c r="F8" i="5"/>
  <c r="O7" i="5"/>
  <c r="N7" i="5"/>
  <c r="M7" i="5"/>
  <c r="H7" i="5"/>
  <c r="G7" i="5"/>
  <c r="F7" i="5"/>
  <c r="O6" i="5"/>
  <c r="N6" i="5"/>
  <c r="M6" i="5"/>
  <c r="H6" i="5"/>
  <c r="G6" i="5"/>
  <c r="F6" i="5"/>
  <c r="O5" i="5"/>
  <c r="N5" i="5"/>
  <c r="M5" i="5"/>
  <c r="H5" i="5"/>
  <c r="G5" i="5"/>
  <c r="F5" i="5"/>
  <c r="O4" i="5"/>
  <c r="N4" i="5"/>
  <c r="M4" i="5"/>
  <c r="H4" i="5"/>
  <c r="G4" i="5"/>
  <c r="F4" i="5"/>
  <c r="O3" i="5"/>
  <c r="N3" i="5"/>
  <c r="M3" i="5"/>
  <c r="H3" i="5"/>
  <c r="G3" i="5"/>
  <c r="F3" i="5"/>
  <c r="BI47" i="4"/>
  <c r="BH47" i="4"/>
  <c r="BG47" i="4"/>
  <c r="AZ47" i="4"/>
  <c r="Q47" i="4"/>
  <c r="P47" i="4"/>
  <c r="N47" i="4"/>
  <c r="L47" i="4"/>
  <c r="K47" i="4"/>
  <c r="J47" i="4"/>
  <c r="B47" i="4"/>
  <c r="BI46" i="4"/>
  <c r="BH46" i="4"/>
  <c r="BG46" i="4"/>
  <c r="AZ46" i="4"/>
  <c r="Q46" i="4"/>
  <c r="P46" i="4"/>
  <c r="N46" i="4"/>
  <c r="L46" i="4"/>
  <c r="K46" i="4"/>
  <c r="J46" i="4"/>
  <c r="BI45" i="4"/>
  <c r="BH45" i="4"/>
  <c r="BG45" i="4"/>
  <c r="AZ45" i="4"/>
  <c r="Q45" i="4"/>
  <c r="P45" i="4"/>
  <c r="N45" i="4"/>
  <c r="L45" i="4"/>
  <c r="K45" i="4"/>
  <c r="J45" i="4"/>
  <c r="BI44" i="4"/>
  <c r="BH44" i="4"/>
  <c r="BG44" i="4"/>
  <c r="AZ44" i="4"/>
  <c r="Q44" i="4"/>
  <c r="P44" i="4"/>
  <c r="N44" i="4"/>
  <c r="L44" i="4"/>
  <c r="K44" i="4"/>
  <c r="J44" i="4"/>
  <c r="BI43" i="4"/>
  <c r="BH43" i="4"/>
  <c r="BG43" i="4"/>
  <c r="AZ43" i="4"/>
  <c r="Q43" i="4"/>
  <c r="P43" i="4"/>
  <c r="N43" i="4"/>
  <c r="L43" i="4"/>
  <c r="K43" i="4"/>
  <c r="J43" i="4"/>
  <c r="BI42" i="4"/>
  <c r="BH42" i="4"/>
  <c r="BG42" i="4"/>
  <c r="AZ42" i="4"/>
  <c r="Q42" i="4"/>
  <c r="P42" i="4"/>
  <c r="N42" i="4"/>
  <c r="L42" i="4"/>
  <c r="K42" i="4"/>
  <c r="J42" i="4"/>
  <c r="BI41" i="4"/>
  <c r="BH41" i="4"/>
  <c r="BG41" i="4"/>
  <c r="AZ41" i="4"/>
  <c r="Q41" i="4"/>
  <c r="P41" i="4"/>
  <c r="N41" i="4"/>
  <c r="L41" i="4"/>
  <c r="K41" i="4"/>
  <c r="J41" i="4"/>
  <c r="BI40" i="4"/>
  <c r="BH40" i="4"/>
  <c r="BG40" i="4"/>
  <c r="AZ40" i="4"/>
  <c r="Q40" i="4"/>
  <c r="P40" i="4"/>
  <c r="N40" i="4"/>
  <c r="L40" i="4"/>
  <c r="K40" i="4"/>
  <c r="J40" i="4"/>
  <c r="BI39" i="4"/>
  <c r="BH39" i="4"/>
  <c r="BG39" i="4"/>
  <c r="AZ39" i="4"/>
  <c r="Q39" i="4"/>
  <c r="P39" i="4"/>
  <c r="N39" i="4"/>
  <c r="L39" i="4"/>
  <c r="K39" i="4"/>
  <c r="J39" i="4"/>
  <c r="BI38" i="4"/>
  <c r="BH38" i="4"/>
  <c r="BG38" i="4"/>
  <c r="AZ38" i="4"/>
  <c r="Q38" i="4"/>
  <c r="P38" i="4"/>
  <c r="N38" i="4"/>
  <c r="L38" i="4"/>
  <c r="K38" i="4"/>
  <c r="J38" i="4"/>
  <c r="BI37" i="4"/>
  <c r="BH37" i="4"/>
  <c r="BG37" i="4"/>
  <c r="AZ37" i="4"/>
  <c r="Q37" i="4"/>
  <c r="P37" i="4"/>
  <c r="N37" i="4"/>
  <c r="L37" i="4"/>
  <c r="K37" i="4"/>
  <c r="J37" i="4"/>
  <c r="BI36" i="4"/>
  <c r="BH36" i="4"/>
  <c r="BG36" i="4"/>
  <c r="AZ36" i="4"/>
  <c r="Q36" i="4"/>
  <c r="P36" i="4"/>
  <c r="N36" i="4"/>
  <c r="L36" i="4"/>
  <c r="K36" i="4"/>
  <c r="J36" i="4"/>
  <c r="BI35" i="4"/>
  <c r="BH35" i="4"/>
  <c r="BG35" i="4"/>
  <c r="AZ35" i="4"/>
  <c r="Q35" i="4"/>
  <c r="P35" i="4"/>
  <c r="N35" i="4"/>
  <c r="L35" i="4"/>
  <c r="K35" i="4"/>
  <c r="J35" i="4"/>
  <c r="BI34" i="4"/>
  <c r="BH34" i="4"/>
  <c r="BG34" i="4"/>
  <c r="AZ34" i="4"/>
  <c r="Q34" i="4"/>
  <c r="P34" i="4"/>
  <c r="N34" i="4"/>
  <c r="L34" i="4"/>
  <c r="K34" i="4"/>
  <c r="J34" i="4"/>
  <c r="BI33" i="4"/>
  <c r="BH33" i="4"/>
  <c r="BG33" i="4"/>
  <c r="AZ33" i="4"/>
  <c r="Q33" i="4"/>
  <c r="P33" i="4"/>
  <c r="N33" i="4"/>
  <c r="L33" i="4"/>
  <c r="K33" i="4"/>
  <c r="J33" i="4"/>
  <c r="BI32" i="4"/>
  <c r="BH32" i="4"/>
  <c r="BG32" i="4"/>
  <c r="AZ32" i="4"/>
  <c r="Q32" i="4"/>
  <c r="P32" i="4"/>
  <c r="N32" i="4"/>
  <c r="L32" i="4"/>
  <c r="K32" i="4"/>
  <c r="J32" i="4"/>
  <c r="BI31" i="4"/>
  <c r="BH31" i="4"/>
  <c r="BG31" i="4"/>
  <c r="AZ31" i="4"/>
  <c r="Q31" i="4"/>
  <c r="P31" i="4"/>
  <c r="N31" i="4"/>
  <c r="L31" i="4"/>
  <c r="K31" i="4"/>
  <c r="J31" i="4"/>
  <c r="BI30" i="4"/>
  <c r="BH30" i="4"/>
  <c r="BG30" i="4"/>
  <c r="AZ30" i="4"/>
  <c r="Q30" i="4"/>
  <c r="P30" i="4"/>
  <c r="N30" i="4"/>
  <c r="L30" i="4"/>
  <c r="K30" i="4"/>
  <c r="J30" i="4"/>
  <c r="BI29" i="4"/>
  <c r="BH29" i="4"/>
  <c r="BG29" i="4"/>
  <c r="AZ29" i="4"/>
  <c r="Q29" i="4"/>
  <c r="P29" i="4"/>
  <c r="N29" i="4"/>
  <c r="L29" i="4"/>
  <c r="K29" i="4"/>
  <c r="J29" i="4"/>
  <c r="BI28" i="4"/>
  <c r="BH28" i="4"/>
  <c r="BG28" i="4"/>
  <c r="AZ28" i="4"/>
  <c r="Q28" i="4"/>
  <c r="P28" i="4"/>
  <c r="N28" i="4"/>
  <c r="L28" i="4"/>
  <c r="K28" i="4"/>
  <c r="J28" i="4"/>
  <c r="BI27" i="4"/>
  <c r="BH27" i="4"/>
  <c r="BG27" i="4"/>
  <c r="AZ27" i="4"/>
  <c r="Q27" i="4"/>
  <c r="P27" i="4"/>
  <c r="N27" i="4"/>
  <c r="L27" i="4"/>
  <c r="K27" i="4"/>
  <c r="J27" i="4"/>
  <c r="BI26" i="4"/>
  <c r="BH26" i="4"/>
  <c r="BG26" i="4"/>
  <c r="AZ26" i="4"/>
  <c r="Q26" i="4"/>
  <c r="P26" i="4"/>
  <c r="N26" i="4"/>
  <c r="L26" i="4"/>
  <c r="K26" i="4"/>
  <c r="J26" i="4"/>
  <c r="BI25" i="4"/>
  <c r="BH25" i="4"/>
  <c r="BG25" i="4"/>
  <c r="AZ25" i="4"/>
  <c r="Q25" i="4"/>
  <c r="P25" i="4"/>
  <c r="N25" i="4"/>
  <c r="L25" i="4"/>
  <c r="K25" i="4"/>
  <c r="J25" i="4"/>
  <c r="BI24" i="4"/>
  <c r="BH24" i="4"/>
  <c r="BG24" i="4"/>
  <c r="AZ24" i="4"/>
  <c r="Q24" i="4"/>
  <c r="P24" i="4"/>
  <c r="N24" i="4"/>
  <c r="L24" i="4"/>
  <c r="K24" i="4"/>
  <c r="J24" i="4"/>
  <c r="BI23" i="4"/>
  <c r="BH23" i="4"/>
  <c r="BG23" i="4"/>
  <c r="AZ23" i="4"/>
  <c r="Q23" i="4"/>
  <c r="P23" i="4"/>
  <c r="N23" i="4"/>
  <c r="L23" i="4"/>
  <c r="K23" i="4"/>
  <c r="J23" i="4"/>
  <c r="BI22" i="4"/>
  <c r="BH22" i="4"/>
  <c r="BG22" i="4"/>
  <c r="AZ22" i="4"/>
  <c r="Q22" i="4"/>
  <c r="P22" i="4"/>
  <c r="N22" i="4"/>
  <c r="L22" i="4"/>
  <c r="K22" i="4"/>
  <c r="J22" i="4"/>
  <c r="BI21" i="4"/>
  <c r="BH21" i="4"/>
  <c r="BG21" i="4"/>
  <c r="AZ21" i="4"/>
  <c r="Q21" i="4"/>
  <c r="P21" i="4"/>
  <c r="N21" i="4"/>
  <c r="L21" i="4"/>
  <c r="K21" i="4"/>
  <c r="J21" i="4"/>
  <c r="BI20" i="4"/>
  <c r="BH20" i="4"/>
  <c r="BG20" i="4"/>
  <c r="AZ20" i="4"/>
  <c r="Q20" i="4"/>
  <c r="P20" i="4"/>
  <c r="N20" i="4"/>
  <c r="L20" i="4"/>
  <c r="K20" i="4"/>
  <c r="J20" i="4"/>
  <c r="BI19" i="4"/>
  <c r="BH19" i="4"/>
  <c r="BG19" i="4"/>
  <c r="AZ19" i="4"/>
  <c r="Q19" i="4"/>
  <c r="P19" i="4"/>
  <c r="N19" i="4"/>
  <c r="L19" i="4"/>
  <c r="K19" i="4"/>
  <c r="J19" i="4"/>
  <c r="BI18" i="4"/>
  <c r="BH18" i="4"/>
  <c r="BG18" i="4"/>
  <c r="AZ18" i="4"/>
  <c r="Q18" i="4"/>
  <c r="P18" i="4"/>
  <c r="N18" i="4"/>
  <c r="L18" i="4"/>
  <c r="K18" i="4"/>
  <c r="J18" i="4"/>
  <c r="BI17" i="4"/>
  <c r="BH17" i="4"/>
  <c r="BG17" i="4"/>
  <c r="AZ17" i="4"/>
  <c r="Q17" i="4"/>
  <c r="P17" i="4"/>
  <c r="N17" i="4"/>
  <c r="L17" i="4"/>
  <c r="K17" i="4"/>
  <c r="J17" i="4"/>
  <c r="BI16" i="4"/>
  <c r="BH16" i="4"/>
  <c r="BG16" i="4"/>
  <c r="AZ16" i="4"/>
  <c r="Q16" i="4"/>
  <c r="P16" i="4"/>
  <c r="N16" i="4"/>
  <c r="L16" i="4"/>
  <c r="K16" i="4"/>
  <c r="J16" i="4"/>
  <c r="BI15" i="4"/>
  <c r="BH15" i="4"/>
  <c r="BG15" i="4"/>
  <c r="AZ15" i="4"/>
  <c r="Q15" i="4"/>
  <c r="P15" i="4"/>
  <c r="N15" i="4"/>
  <c r="L15" i="4"/>
  <c r="K15" i="4"/>
  <c r="J15" i="4"/>
  <c r="BI14" i="4"/>
  <c r="BH14" i="4"/>
  <c r="BG14" i="4"/>
  <c r="AZ14" i="4"/>
  <c r="Q14" i="4"/>
  <c r="P14" i="4"/>
  <c r="N14" i="4"/>
  <c r="L14" i="4"/>
  <c r="K14" i="4"/>
  <c r="J14" i="4"/>
  <c r="BI13" i="4"/>
  <c r="BH13" i="4"/>
  <c r="BG13" i="4"/>
  <c r="AZ13" i="4"/>
  <c r="Q13" i="4"/>
  <c r="P13" i="4"/>
  <c r="N13" i="4"/>
  <c r="L13" i="4"/>
  <c r="K13" i="4"/>
  <c r="J13" i="4"/>
  <c r="BI12" i="4"/>
  <c r="BH12" i="4"/>
  <c r="BG12" i="4"/>
  <c r="AZ12" i="4"/>
  <c r="Q12" i="4"/>
  <c r="P12" i="4"/>
  <c r="N12" i="4"/>
  <c r="L12" i="4"/>
  <c r="K12" i="4"/>
  <c r="J12" i="4"/>
  <c r="BI11" i="4"/>
  <c r="BH11" i="4"/>
  <c r="BG11" i="4"/>
  <c r="AZ11" i="4"/>
  <c r="Q11" i="4"/>
  <c r="P11" i="4"/>
  <c r="N11" i="4"/>
  <c r="L11" i="4"/>
  <c r="K11" i="4"/>
  <c r="J11" i="4"/>
  <c r="BI10" i="4"/>
  <c r="BH10" i="4"/>
  <c r="BG10" i="4"/>
  <c r="AZ10" i="4"/>
  <c r="Q10" i="4"/>
  <c r="P10" i="4"/>
  <c r="N10" i="4"/>
  <c r="L10" i="4"/>
  <c r="K10" i="4"/>
  <c r="J10" i="4"/>
  <c r="BI9" i="4"/>
  <c r="BH9" i="4"/>
  <c r="BG9" i="4"/>
  <c r="AZ9" i="4"/>
  <c r="Q9" i="4"/>
  <c r="P9" i="4"/>
  <c r="N9" i="4"/>
  <c r="L9" i="4"/>
  <c r="K9" i="4"/>
  <c r="J9" i="4"/>
  <c r="BI8" i="4"/>
  <c r="BH8" i="4"/>
  <c r="BG8" i="4"/>
  <c r="AZ8" i="4"/>
  <c r="Q8" i="4"/>
  <c r="P8" i="4"/>
  <c r="N8" i="4"/>
  <c r="L8" i="4"/>
  <c r="K8" i="4"/>
  <c r="J8" i="4"/>
  <c r="BI7" i="4"/>
  <c r="BH7" i="4"/>
  <c r="BG7" i="4"/>
  <c r="AZ7" i="4"/>
  <c r="Q7" i="4"/>
  <c r="P7" i="4"/>
  <c r="N7" i="4"/>
  <c r="L7" i="4"/>
  <c r="K7" i="4"/>
  <c r="J7" i="4"/>
  <c r="BI6" i="4"/>
  <c r="BH6" i="4"/>
  <c r="BG6" i="4"/>
  <c r="AZ6" i="4"/>
  <c r="Q6" i="4"/>
  <c r="P6" i="4"/>
  <c r="N6" i="4"/>
  <c r="L6" i="4"/>
  <c r="K6" i="4"/>
  <c r="J6" i="4"/>
  <c r="BI5" i="4"/>
  <c r="BH5" i="4"/>
  <c r="BG5" i="4"/>
  <c r="AZ5" i="4"/>
  <c r="Q5" i="4"/>
  <c r="P5" i="4"/>
  <c r="N5" i="4"/>
  <c r="L5" i="4"/>
  <c r="K5" i="4"/>
  <c r="J5" i="4"/>
  <c r="BI4" i="4"/>
  <c r="BH4" i="4"/>
  <c r="BG4" i="4"/>
  <c r="AZ4" i="4"/>
  <c r="Q4" i="4"/>
  <c r="P4" i="4"/>
  <c r="N4" i="4"/>
  <c r="L4" i="4"/>
  <c r="K4" i="4"/>
  <c r="J4" i="4"/>
  <c r="BI3" i="4"/>
  <c r="BH3" i="4"/>
  <c r="BG3" i="4"/>
  <c r="AZ3" i="4"/>
  <c r="Q3" i="4"/>
  <c r="P3" i="4"/>
  <c r="N3" i="4"/>
  <c r="L3" i="4"/>
  <c r="K3" i="4"/>
  <c r="J3" i="4"/>
  <c r="DI47" i="3"/>
  <c r="DH47" i="3"/>
  <c r="DG47" i="3"/>
  <c r="DF47" i="3"/>
  <c r="DE47" i="3"/>
  <c r="DD47" i="3"/>
  <c r="DC47" i="3"/>
  <c r="CY47" i="3"/>
  <c r="CX47" i="3"/>
  <c r="CW47" i="3"/>
  <c r="CV47" i="3"/>
  <c r="AZ47" i="3"/>
  <c r="AR47" i="3"/>
  <c r="Z47" i="3"/>
  <c r="W47" i="3"/>
  <c r="V47" i="3"/>
  <c r="R47" i="3"/>
  <c r="P47" i="3"/>
  <c r="M47" i="3"/>
  <c r="L47" i="3"/>
  <c r="DI46" i="3"/>
  <c r="DH46" i="3"/>
  <c r="DG46" i="3"/>
  <c r="DF46" i="3"/>
  <c r="DE46" i="3"/>
  <c r="DD46" i="3"/>
  <c r="DC46" i="3"/>
  <c r="CY46" i="3"/>
  <c r="CX46" i="3"/>
  <c r="CW46" i="3"/>
  <c r="CV46" i="3"/>
  <c r="AZ46" i="3"/>
  <c r="AR46" i="3"/>
  <c r="Z46" i="3"/>
  <c r="W46" i="3"/>
  <c r="V46" i="3"/>
  <c r="R46" i="3"/>
  <c r="P46" i="3"/>
  <c r="M46" i="3"/>
  <c r="L46" i="3"/>
  <c r="DI45" i="3"/>
  <c r="DH45" i="3"/>
  <c r="DG45" i="3"/>
  <c r="DF45" i="3"/>
  <c r="DE45" i="3"/>
  <c r="DD45" i="3"/>
  <c r="DC45" i="3"/>
  <c r="CY45" i="3"/>
  <c r="CX45" i="3"/>
  <c r="CW45" i="3"/>
  <c r="CV45" i="3"/>
  <c r="AZ45" i="3"/>
  <c r="AR45" i="3"/>
  <c r="Z45" i="3"/>
  <c r="W45" i="3"/>
  <c r="V45" i="3"/>
  <c r="R45" i="3"/>
  <c r="P45" i="3"/>
  <c r="M45" i="3"/>
  <c r="L45" i="3"/>
  <c r="DI44" i="3"/>
  <c r="DH44" i="3"/>
  <c r="DG44" i="3"/>
  <c r="DF44" i="3"/>
  <c r="DE44" i="3"/>
  <c r="DD44" i="3"/>
  <c r="DC44" i="3"/>
  <c r="CY44" i="3"/>
  <c r="CX44" i="3"/>
  <c r="CW44" i="3"/>
  <c r="CV44" i="3"/>
  <c r="AZ44" i="3"/>
  <c r="AR44" i="3"/>
  <c r="Z44" i="3"/>
  <c r="W44" i="3"/>
  <c r="V44" i="3"/>
  <c r="R44" i="3"/>
  <c r="P44" i="3"/>
  <c r="M44" i="3"/>
  <c r="L44" i="3"/>
  <c r="DI43" i="3"/>
  <c r="DH43" i="3"/>
  <c r="DG43" i="3"/>
  <c r="DF43" i="3"/>
  <c r="DE43" i="3"/>
  <c r="DD43" i="3"/>
  <c r="DC43" i="3"/>
  <c r="CY43" i="3"/>
  <c r="CX43" i="3"/>
  <c r="CW43" i="3"/>
  <c r="CV43" i="3"/>
  <c r="AZ43" i="3"/>
  <c r="AR43" i="3"/>
  <c r="Z43" i="3"/>
  <c r="W43" i="3"/>
  <c r="V43" i="3"/>
  <c r="R43" i="3"/>
  <c r="P43" i="3"/>
  <c r="M43" i="3"/>
  <c r="L43" i="3"/>
  <c r="DI42" i="3"/>
  <c r="DH42" i="3"/>
  <c r="DG42" i="3"/>
  <c r="DF42" i="3"/>
  <c r="DE42" i="3"/>
  <c r="DD42" i="3"/>
  <c r="DC42" i="3"/>
  <c r="CY42" i="3"/>
  <c r="CX42" i="3"/>
  <c r="CW42" i="3"/>
  <c r="CV42" i="3"/>
  <c r="AZ42" i="3"/>
  <c r="AR42" i="3"/>
  <c r="Z42" i="3"/>
  <c r="W42" i="3"/>
  <c r="V42" i="3"/>
  <c r="R42" i="3"/>
  <c r="P42" i="3"/>
  <c r="O42" i="3"/>
  <c r="M42" i="3"/>
  <c r="L42" i="3"/>
  <c r="DI41" i="3"/>
  <c r="DH41" i="3"/>
  <c r="DG41" i="3"/>
  <c r="DF41" i="3"/>
  <c r="DE41" i="3"/>
  <c r="DD41" i="3"/>
  <c r="DC41" i="3"/>
  <c r="CY41" i="3"/>
  <c r="CX41" i="3"/>
  <c r="CW41" i="3"/>
  <c r="CV41" i="3"/>
  <c r="AZ41" i="3"/>
  <c r="AR41" i="3"/>
  <c r="Z41" i="3"/>
  <c r="W41" i="3"/>
  <c r="V41" i="3"/>
  <c r="R41" i="3"/>
  <c r="P41" i="3"/>
  <c r="O41" i="3"/>
  <c r="M41" i="3"/>
  <c r="L41" i="3"/>
  <c r="DI40" i="3"/>
  <c r="DH40" i="3"/>
  <c r="DG40" i="3"/>
  <c r="DF40" i="3"/>
  <c r="DE40" i="3"/>
  <c r="DD40" i="3"/>
  <c r="DC40" i="3"/>
  <c r="CY40" i="3"/>
  <c r="CX40" i="3"/>
  <c r="CW40" i="3"/>
  <c r="CV40" i="3"/>
  <c r="AZ40" i="3"/>
  <c r="AR40" i="3"/>
  <c r="Z40" i="3"/>
  <c r="W40" i="3"/>
  <c r="V40" i="3"/>
  <c r="R40" i="3"/>
  <c r="P40" i="3"/>
  <c r="M40" i="3"/>
  <c r="L40" i="3"/>
  <c r="DI39" i="3"/>
  <c r="DH39" i="3"/>
  <c r="DG39" i="3"/>
  <c r="DF39" i="3"/>
  <c r="DE39" i="3"/>
  <c r="DD39" i="3"/>
  <c r="DC39" i="3"/>
  <c r="CY39" i="3"/>
  <c r="CX39" i="3"/>
  <c r="CW39" i="3"/>
  <c r="CV39" i="3"/>
  <c r="AZ39" i="3"/>
  <c r="AR39" i="3"/>
  <c r="Z39" i="3"/>
  <c r="W39" i="3"/>
  <c r="V39" i="3"/>
  <c r="R39" i="3"/>
  <c r="P39" i="3"/>
  <c r="O39" i="3"/>
  <c r="M39" i="3"/>
  <c r="L39" i="3"/>
  <c r="DI38" i="3"/>
  <c r="DH38" i="3"/>
  <c r="DG38" i="3"/>
  <c r="DF38" i="3"/>
  <c r="DE38" i="3"/>
  <c r="DD38" i="3"/>
  <c r="DC38" i="3"/>
  <c r="CY38" i="3"/>
  <c r="CX38" i="3"/>
  <c r="CW38" i="3"/>
  <c r="CV38" i="3"/>
  <c r="AR38" i="3"/>
  <c r="Z38" i="3"/>
  <c r="W38" i="3"/>
  <c r="V38" i="3"/>
  <c r="R38" i="3"/>
  <c r="P38" i="3"/>
  <c r="O38" i="3"/>
  <c r="M38" i="3"/>
  <c r="L38" i="3"/>
  <c r="DI37" i="3"/>
  <c r="DH37" i="3"/>
  <c r="DG37" i="3"/>
  <c r="DF37" i="3"/>
  <c r="DE37" i="3"/>
  <c r="DD37" i="3"/>
  <c r="DC37" i="3"/>
  <c r="CY37" i="3"/>
  <c r="CX37" i="3"/>
  <c r="CW37" i="3"/>
  <c r="CV37" i="3"/>
  <c r="AZ37" i="3"/>
  <c r="AR37" i="3"/>
  <c r="Z37" i="3"/>
  <c r="W37" i="3"/>
  <c r="V37" i="3"/>
  <c r="R37" i="3"/>
  <c r="P37" i="3"/>
  <c r="O37" i="3"/>
  <c r="M37" i="3"/>
  <c r="L37" i="3"/>
  <c r="DI36" i="3"/>
  <c r="DH36" i="3"/>
  <c r="DG36" i="3"/>
  <c r="DF36" i="3"/>
  <c r="DE36" i="3"/>
  <c r="DD36" i="3"/>
  <c r="DC36" i="3"/>
  <c r="CY36" i="3"/>
  <c r="CX36" i="3"/>
  <c r="CW36" i="3"/>
  <c r="CV36" i="3"/>
  <c r="AR36" i="3"/>
  <c r="Z36" i="3"/>
  <c r="W36" i="3"/>
  <c r="V36" i="3"/>
  <c r="R36" i="3"/>
  <c r="P36" i="3"/>
  <c r="O36" i="3"/>
  <c r="M36" i="3"/>
  <c r="L36" i="3"/>
  <c r="DI35" i="3"/>
  <c r="DH35" i="3"/>
  <c r="DG35" i="3"/>
  <c r="DF35" i="3"/>
  <c r="DE35" i="3"/>
  <c r="DD35" i="3"/>
  <c r="DC35" i="3"/>
  <c r="CY35" i="3"/>
  <c r="CX35" i="3"/>
  <c r="CW35" i="3"/>
  <c r="CV35" i="3"/>
  <c r="AZ35" i="3"/>
  <c r="AR35" i="3"/>
  <c r="Z35" i="3"/>
  <c r="W35" i="3"/>
  <c r="V35" i="3"/>
  <c r="R35" i="3"/>
  <c r="P35" i="3"/>
  <c r="O35" i="3"/>
  <c r="M35" i="3"/>
  <c r="L35" i="3"/>
  <c r="DI34" i="3"/>
  <c r="DH34" i="3"/>
  <c r="DG34" i="3"/>
  <c r="DF34" i="3"/>
  <c r="DE34" i="3"/>
  <c r="DD34" i="3"/>
  <c r="DC34" i="3"/>
  <c r="CY34" i="3"/>
  <c r="CX34" i="3"/>
  <c r="CW34" i="3"/>
  <c r="CV34" i="3"/>
  <c r="AZ34" i="3"/>
  <c r="AR34" i="3"/>
  <c r="Z34" i="3"/>
  <c r="W34" i="3"/>
  <c r="V34" i="3"/>
  <c r="R34" i="3"/>
  <c r="P34" i="3"/>
  <c r="M34" i="3"/>
  <c r="L34" i="3"/>
  <c r="DI33" i="3"/>
  <c r="DH33" i="3"/>
  <c r="DG33" i="3"/>
  <c r="DF33" i="3"/>
  <c r="DE33" i="3"/>
  <c r="DD33" i="3"/>
  <c r="DC33" i="3"/>
  <c r="CY33" i="3"/>
  <c r="CX33" i="3"/>
  <c r="CW33" i="3"/>
  <c r="CV33" i="3"/>
  <c r="AZ33" i="3"/>
  <c r="AR33" i="3"/>
  <c r="Z33" i="3"/>
  <c r="W33" i="3"/>
  <c r="V33" i="3"/>
  <c r="R33" i="3"/>
  <c r="P33" i="3"/>
  <c r="M33" i="3"/>
  <c r="L33" i="3"/>
  <c r="DI32" i="3"/>
  <c r="DH32" i="3"/>
  <c r="DG32" i="3"/>
  <c r="DF32" i="3"/>
  <c r="DE32" i="3"/>
  <c r="DD32" i="3"/>
  <c r="DC32" i="3"/>
  <c r="CY32" i="3"/>
  <c r="CX32" i="3"/>
  <c r="CW32" i="3"/>
  <c r="CV32" i="3"/>
  <c r="AZ32" i="3"/>
  <c r="AR32" i="3"/>
  <c r="Z32" i="3"/>
  <c r="W32" i="3"/>
  <c r="V32" i="3"/>
  <c r="R32" i="3"/>
  <c r="P32" i="3"/>
  <c r="M32" i="3"/>
  <c r="L32" i="3"/>
  <c r="DI31" i="3"/>
  <c r="DH31" i="3"/>
  <c r="DG31" i="3"/>
  <c r="DF31" i="3"/>
  <c r="DE31" i="3"/>
  <c r="DD31" i="3"/>
  <c r="DC31" i="3"/>
  <c r="CY31" i="3"/>
  <c r="CX31" i="3"/>
  <c r="CW31" i="3"/>
  <c r="CV31" i="3"/>
  <c r="AZ31" i="3"/>
  <c r="AR31" i="3"/>
  <c r="Z31" i="3"/>
  <c r="W31" i="3"/>
  <c r="V31" i="3"/>
  <c r="R31" i="3"/>
  <c r="P31" i="3"/>
  <c r="O31" i="3"/>
  <c r="M31" i="3"/>
  <c r="L31" i="3"/>
  <c r="DI30" i="3"/>
  <c r="DH30" i="3"/>
  <c r="DG30" i="3"/>
  <c r="DF30" i="3"/>
  <c r="DE30" i="3"/>
  <c r="DD30" i="3"/>
  <c r="DC30" i="3"/>
  <c r="CY30" i="3"/>
  <c r="CX30" i="3"/>
  <c r="CW30" i="3"/>
  <c r="CV30" i="3"/>
  <c r="AZ30" i="3"/>
  <c r="AR30" i="3"/>
  <c r="Z30" i="3"/>
  <c r="W30" i="3"/>
  <c r="V30" i="3"/>
  <c r="R30" i="3"/>
  <c r="P30" i="3"/>
  <c r="M30" i="3"/>
  <c r="L30" i="3"/>
  <c r="DI29" i="3"/>
  <c r="DH29" i="3"/>
  <c r="DG29" i="3"/>
  <c r="DF29" i="3"/>
  <c r="DE29" i="3"/>
  <c r="DD29" i="3"/>
  <c r="DC29" i="3"/>
  <c r="CY29" i="3"/>
  <c r="CX29" i="3"/>
  <c r="CW29" i="3"/>
  <c r="CV29" i="3"/>
  <c r="AZ29" i="3"/>
  <c r="AR29" i="3"/>
  <c r="Z29" i="3"/>
  <c r="W29" i="3"/>
  <c r="V29" i="3"/>
  <c r="R29" i="3"/>
  <c r="P29" i="3"/>
  <c r="M29" i="3"/>
  <c r="L29" i="3"/>
  <c r="DI28" i="3"/>
  <c r="DH28" i="3"/>
  <c r="DG28" i="3"/>
  <c r="DF28" i="3"/>
  <c r="DE28" i="3"/>
  <c r="DD28" i="3"/>
  <c r="DC28" i="3"/>
  <c r="CY28" i="3"/>
  <c r="CX28" i="3"/>
  <c r="CW28" i="3"/>
  <c r="CV28" i="3"/>
  <c r="AZ28" i="3"/>
  <c r="AR28" i="3"/>
  <c r="Z28" i="3"/>
  <c r="W28" i="3"/>
  <c r="V28" i="3"/>
  <c r="R28" i="3"/>
  <c r="P28" i="3"/>
  <c r="O28" i="3"/>
  <c r="M28" i="3"/>
  <c r="L28" i="3"/>
  <c r="DI27" i="3"/>
  <c r="DH27" i="3"/>
  <c r="DG27" i="3"/>
  <c r="DF27" i="3"/>
  <c r="DE27" i="3"/>
  <c r="DD27" i="3"/>
  <c r="DC27" i="3"/>
  <c r="CY27" i="3"/>
  <c r="CX27" i="3"/>
  <c r="CW27" i="3"/>
  <c r="CV27" i="3"/>
  <c r="AZ27" i="3"/>
  <c r="AR27" i="3"/>
  <c r="Z27" i="3"/>
  <c r="W27" i="3"/>
  <c r="V27" i="3"/>
  <c r="R27" i="3"/>
  <c r="P27" i="3"/>
  <c r="O27" i="3"/>
  <c r="M27" i="3"/>
  <c r="L27" i="3"/>
  <c r="DI26" i="3"/>
  <c r="DH26" i="3"/>
  <c r="DG26" i="3"/>
  <c r="DF26" i="3"/>
  <c r="DE26" i="3"/>
  <c r="DD26" i="3"/>
  <c r="DC26" i="3"/>
  <c r="CY26" i="3"/>
  <c r="CX26" i="3"/>
  <c r="CW26" i="3"/>
  <c r="CV26" i="3"/>
  <c r="AR26" i="3"/>
  <c r="Z26" i="3"/>
  <c r="W26" i="3"/>
  <c r="V26" i="3"/>
  <c r="R26" i="3"/>
  <c r="P26" i="3"/>
  <c r="O26" i="3"/>
  <c r="M26" i="3"/>
  <c r="L26" i="3"/>
  <c r="DI25" i="3"/>
  <c r="DH25" i="3"/>
  <c r="DG25" i="3"/>
  <c r="DF25" i="3"/>
  <c r="DE25" i="3"/>
  <c r="DD25" i="3"/>
  <c r="DC25" i="3"/>
  <c r="CY25" i="3"/>
  <c r="CX25" i="3"/>
  <c r="CW25" i="3"/>
  <c r="CV25" i="3"/>
  <c r="AZ25" i="3"/>
  <c r="AR25" i="3"/>
  <c r="Z25" i="3"/>
  <c r="W25" i="3"/>
  <c r="V25" i="3"/>
  <c r="R25" i="3"/>
  <c r="P25" i="3"/>
  <c r="M25" i="3"/>
  <c r="L25" i="3"/>
  <c r="DI24" i="3"/>
  <c r="DH24" i="3"/>
  <c r="DG24" i="3"/>
  <c r="DF24" i="3"/>
  <c r="DE24" i="3"/>
  <c r="DD24" i="3"/>
  <c r="DC24" i="3"/>
  <c r="CY24" i="3"/>
  <c r="CX24" i="3"/>
  <c r="CW24" i="3"/>
  <c r="CV24" i="3"/>
  <c r="AZ24" i="3"/>
  <c r="AR24" i="3"/>
  <c r="Z24" i="3"/>
  <c r="W24" i="3"/>
  <c r="V24" i="3"/>
  <c r="R24" i="3"/>
  <c r="P24" i="3"/>
  <c r="M24" i="3"/>
  <c r="L24" i="3"/>
  <c r="DI23" i="3"/>
  <c r="DH23" i="3"/>
  <c r="DG23" i="3"/>
  <c r="DF23" i="3"/>
  <c r="DE23" i="3"/>
  <c r="DD23" i="3"/>
  <c r="DC23" i="3"/>
  <c r="CY23" i="3"/>
  <c r="CX23" i="3"/>
  <c r="CW23" i="3"/>
  <c r="CV23" i="3"/>
  <c r="AZ23" i="3"/>
  <c r="AR23" i="3"/>
  <c r="Z23" i="3"/>
  <c r="W23" i="3"/>
  <c r="V23" i="3"/>
  <c r="R23" i="3"/>
  <c r="P23" i="3"/>
  <c r="M23" i="3"/>
  <c r="L23" i="3"/>
  <c r="DI22" i="3"/>
  <c r="DH22" i="3"/>
  <c r="DG22" i="3"/>
  <c r="DF22" i="3"/>
  <c r="DE22" i="3"/>
  <c r="DD22" i="3"/>
  <c r="DC22" i="3"/>
  <c r="CY22" i="3"/>
  <c r="CX22" i="3"/>
  <c r="CW22" i="3"/>
  <c r="CV22" i="3"/>
  <c r="AZ22" i="3"/>
  <c r="AR22" i="3"/>
  <c r="Z22" i="3"/>
  <c r="W22" i="3"/>
  <c r="V22" i="3"/>
  <c r="R22" i="3"/>
  <c r="P22" i="3"/>
  <c r="M22" i="3"/>
  <c r="L22" i="3"/>
  <c r="DI21" i="3"/>
  <c r="DH21" i="3"/>
  <c r="DG21" i="3"/>
  <c r="DF21" i="3"/>
  <c r="DE21" i="3"/>
  <c r="DD21" i="3"/>
  <c r="DC21" i="3"/>
  <c r="CY21" i="3"/>
  <c r="CX21" i="3"/>
  <c r="CW21" i="3"/>
  <c r="CV21" i="3"/>
  <c r="AZ21" i="3"/>
  <c r="AR21" i="3"/>
  <c r="Z21" i="3"/>
  <c r="W21" i="3"/>
  <c r="V21" i="3"/>
  <c r="R21" i="3"/>
  <c r="P21" i="3"/>
  <c r="O21" i="3"/>
  <c r="M21" i="3"/>
  <c r="L21" i="3"/>
  <c r="DI20" i="3"/>
  <c r="DH20" i="3"/>
  <c r="DG20" i="3"/>
  <c r="DF20" i="3"/>
  <c r="DE20" i="3"/>
  <c r="DD20" i="3"/>
  <c r="DC20" i="3"/>
  <c r="CY20" i="3"/>
  <c r="CX20" i="3"/>
  <c r="CW20" i="3"/>
  <c r="CV20" i="3"/>
  <c r="AZ20" i="3"/>
  <c r="AR20" i="3"/>
  <c r="Z20" i="3"/>
  <c r="W20" i="3"/>
  <c r="V20" i="3"/>
  <c r="R20" i="3"/>
  <c r="P20" i="3"/>
  <c r="O20" i="3"/>
  <c r="M20" i="3"/>
  <c r="L20" i="3"/>
  <c r="DI19" i="3"/>
  <c r="DH19" i="3"/>
  <c r="DG19" i="3"/>
  <c r="DF19" i="3"/>
  <c r="DE19" i="3"/>
  <c r="DD19" i="3"/>
  <c r="DC19" i="3"/>
  <c r="CY19" i="3"/>
  <c r="CX19" i="3"/>
  <c r="CW19" i="3"/>
  <c r="CV19" i="3"/>
  <c r="AZ19" i="3"/>
  <c r="AR19" i="3"/>
  <c r="Z19" i="3"/>
  <c r="W19" i="3"/>
  <c r="V19" i="3"/>
  <c r="R19" i="3"/>
  <c r="P19" i="3"/>
  <c r="O19" i="3"/>
  <c r="M19" i="3"/>
  <c r="L19" i="3"/>
  <c r="DI18" i="3"/>
  <c r="DH18" i="3"/>
  <c r="DG18" i="3"/>
  <c r="DF18" i="3"/>
  <c r="DE18" i="3"/>
  <c r="DD18" i="3"/>
  <c r="DC18" i="3"/>
  <c r="CY18" i="3"/>
  <c r="CX18" i="3"/>
  <c r="CW18" i="3"/>
  <c r="CV18" i="3"/>
  <c r="AZ18" i="3"/>
  <c r="AR18" i="3"/>
  <c r="Z18" i="3"/>
  <c r="W18" i="3"/>
  <c r="V18" i="3"/>
  <c r="R18" i="3"/>
  <c r="P18" i="3"/>
  <c r="O18" i="3"/>
  <c r="M18" i="3"/>
  <c r="L18" i="3"/>
  <c r="DI17" i="3"/>
  <c r="DH17" i="3"/>
  <c r="DG17" i="3"/>
  <c r="DF17" i="3"/>
  <c r="DE17" i="3"/>
  <c r="DD17" i="3"/>
  <c r="DC17" i="3"/>
  <c r="CY17" i="3"/>
  <c r="CX17" i="3"/>
  <c r="CW17" i="3"/>
  <c r="CV17" i="3"/>
  <c r="AZ17" i="3"/>
  <c r="AR17" i="3"/>
  <c r="Z17" i="3"/>
  <c r="W17" i="3"/>
  <c r="V17" i="3"/>
  <c r="R17" i="3"/>
  <c r="P17" i="3"/>
  <c r="O17" i="3"/>
  <c r="M17" i="3"/>
  <c r="L17" i="3"/>
  <c r="DI16" i="3"/>
  <c r="DH16" i="3"/>
  <c r="DG16" i="3"/>
  <c r="DF16" i="3"/>
  <c r="DE16" i="3"/>
  <c r="DD16" i="3"/>
  <c r="DC16" i="3"/>
  <c r="CY16" i="3"/>
  <c r="CX16" i="3"/>
  <c r="CW16" i="3"/>
  <c r="CV16" i="3"/>
  <c r="AZ16" i="3"/>
  <c r="AR16" i="3"/>
  <c r="Z16" i="3"/>
  <c r="W16" i="3"/>
  <c r="V16" i="3"/>
  <c r="R16" i="3"/>
  <c r="P16" i="3"/>
  <c r="O16" i="3"/>
  <c r="M16" i="3"/>
  <c r="L16" i="3"/>
  <c r="DI15" i="3"/>
  <c r="DH15" i="3"/>
  <c r="DG15" i="3"/>
  <c r="DF15" i="3"/>
  <c r="DE15" i="3"/>
  <c r="DD15" i="3"/>
  <c r="DC15" i="3"/>
  <c r="CY15" i="3"/>
  <c r="CX15" i="3"/>
  <c r="CW15" i="3"/>
  <c r="CV15" i="3"/>
  <c r="AZ15" i="3"/>
  <c r="AR15" i="3"/>
  <c r="Z15" i="3"/>
  <c r="W15" i="3"/>
  <c r="V15" i="3"/>
  <c r="R15" i="3"/>
  <c r="P15" i="3"/>
  <c r="O15" i="3"/>
  <c r="M15" i="3"/>
  <c r="L15" i="3"/>
  <c r="DI14" i="3"/>
  <c r="DH14" i="3"/>
  <c r="DG14" i="3"/>
  <c r="DF14" i="3"/>
  <c r="DE14" i="3"/>
  <c r="DD14" i="3"/>
  <c r="DC14" i="3"/>
  <c r="CY14" i="3"/>
  <c r="CX14" i="3"/>
  <c r="CW14" i="3"/>
  <c r="CV14" i="3"/>
  <c r="AZ14" i="3"/>
  <c r="AR14" i="3"/>
  <c r="Z14" i="3"/>
  <c r="W14" i="3"/>
  <c r="V14" i="3"/>
  <c r="R14" i="3"/>
  <c r="P14" i="3"/>
  <c r="M14" i="3"/>
  <c r="L14" i="3"/>
  <c r="DI13" i="3"/>
  <c r="DH13" i="3"/>
  <c r="DG13" i="3"/>
  <c r="DF13" i="3"/>
  <c r="DE13" i="3"/>
  <c r="DD13" i="3"/>
  <c r="DC13" i="3"/>
  <c r="CY13" i="3"/>
  <c r="CX13" i="3"/>
  <c r="CW13" i="3"/>
  <c r="CV13" i="3"/>
  <c r="AZ13" i="3"/>
  <c r="AR13" i="3"/>
  <c r="Z13" i="3"/>
  <c r="W13" i="3"/>
  <c r="V13" i="3"/>
  <c r="R13" i="3"/>
  <c r="P13" i="3"/>
  <c r="M13" i="3"/>
  <c r="L13" i="3"/>
  <c r="DI12" i="3"/>
  <c r="DH12" i="3"/>
  <c r="DG12" i="3"/>
  <c r="DF12" i="3"/>
  <c r="DE12" i="3"/>
  <c r="DD12" i="3"/>
  <c r="DC12" i="3"/>
  <c r="CY12" i="3"/>
  <c r="CX12" i="3"/>
  <c r="CW12" i="3"/>
  <c r="CV12" i="3"/>
  <c r="AZ12" i="3"/>
  <c r="AR12" i="3"/>
  <c r="Z12" i="3"/>
  <c r="W12" i="3"/>
  <c r="V12" i="3"/>
  <c r="R12" i="3"/>
  <c r="P12" i="3"/>
  <c r="M12" i="3"/>
  <c r="L12" i="3"/>
  <c r="DI11" i="3"/>
  <c r="DH11" i="3"/>
  <c r="DG11" i="3"/>
  <c r="DF11" i="3"/>
  <c r="DE11" i="3"/>
  <c r="DD11" i="3"/>
  <c r="DC11" i="3"/>
  <c r="CY11" i="3"/>
  <c r="CX11" i="3"/>
  <c r="CW11" i="3"/>
  <c r="CV11" i="3"/>
  <c r="AZ11" i="3"/>
  <c r="AR11" i="3"/>
  <c r="Z11" i="3"/>
  <c r="W11" i="3"/>
  <c r="V11" i="3"/>
  <c r="R11" i="3"/>
  <c r="P11" i="3"/>
  <c r="O11" i="3"/>
  <c r="M11" i="3"/>
  <c r="L11" i="3"/>
  <c r="DI10" i="3"/>
  <c r="DH10" i="3"/>
  <c r="DG10" i="3"/>
  <c r="DF10" i="3"/>
  <c r="DE10" i="3"/>
  <c r="DD10" i="3"/>
  <c r="DC10" i="3"/>
  <c r="CY10" i="3"/>
  <c r="CX10" i="3"/>
  <c r="CW10" i="3"/>
  <c r="CV10" i="3"/>
  <c r="AZ10" i="3"/>
  <c r="AR10" i="3"/>
  <c r="Z10" i="3"/>
  <c r="W10" i="3"/>
  <c r="V10" i="3"/>
  <c r="R10" i="3"/>
  <c r="P10" i="3"/>
  <c r="O10" i="3"/>
  <c r="M10" i="3"/>
  <c r="L10" i="3"/>
  <c r="DI9" i="3"/>
  <c r="DH9" i="3"/>
  <c r="DG9" i="3"/>
  <c r="DF9" i="3"/>
  <c r="DE9" i="3"/>
  <c r="DD9" i="3"/>
  <c r="DC9" i="3"/>
  <c r="CY9" i="3"/>
  <c r="CX9" i="3"/>
  <c r="CW9" i="3"/>
  <c r="CV9" i="3"/>
  <c r="AZ9" i="3"/>
  <c r="AR9" i="3"/>
  <c r="Z9" i="3"/>
  <c r="W9" i="3"/>
  <c r="V9" i="3"/>
  <c r="R9" i="3"/>
  <c r="P9" i="3"/>
  <c r="O9" i="3"/>
  <c r="M9" i="3"/>
  <c r="L9" i="3"/>
  <c r="DI8" i="3"/>
  <c r="DH8" i="3"/>
  <c r="DG8" i="3"/>
  <c r="DF8" i="3"/>
  <c r="DE8" i="3"/>
  <c r="DD8" i="3"/>
  <c r="DC8" i="3"/>
  <c r="CY8" i="3"/>
  <c r="CX8" i="3"/>
  <c r="CW8" i="3"/>
  <c r="CV8" i="3"/>
  <c r="AZ8" i="3"/>
  <c r="AR8" i="3"/>
  <c r="Z8" i="3"/>
  <c r="W8" i="3"/>
  <c r="V8" i="3"/>
  <c r="R8" i="3"/>
  <c r="P8" i="3"/>
  <c r="M8" i="3"/>
  <c r="L8" i="3"/>
  <c r="DI7" i="3"/>
  <c r="DH7" i="3"/>
  <c r="DG7" i="3"/>
  <c r="DF7" i="3"/>
  <c r="DE7" i="3"/>
  <c r="DD7" i="3"/>
  <c r="DC7" i="3"/>
  <c r="CY7" i="3"/>
  <c r="CX7" i="3"/>
  <c r="CW7" i="3"/>
  <c r="CV7" i="3"/>
  <c r="AZ7" i="3"/>
  <c r="AR7" i="3"/>
  <c r="Z7" i="3"/>
  <c r="W7" i="3"/>
  <c r="V7" i="3"/>
  <c r="R7" i="3"/>
  <c r="P7" i="3"/>
  <c r="O7" i="3"/>
  <c r="M7" i="3"/>
  <c r="L7" i="3"/>
  <c r="DI6" i="3"/>
  <c r="DH6" i="3"/>
  <c r="DG6" i="3"/>
  <c r="DF6" i="3"/>
  <c r="DE6" i="3"/>
  <c r="DD6" i="3"/>
  <c r="DC6" i="3"/>
  <c r="CY6" i="3"/>
  <c r="CX6" i="3"/>
  <c r="CW6" i="3"/>
  <c r="CV6" i="3"/>
  <c r="AZ6" i="3"/>
  <c r="AR6" i="3"/>
  <c r="Z6" i="3"/>
  <c r="W6" i="3"/>
  <c r="V6" i="3"/>
  <c r="R6" i="3"/>
  <c r="P6" i="3"/>
  <c r="M6" i="3"/>
  <c r="L6" i="3"/>
  <c r="DI5" i="3"/>
  <c r="DH5" i="3"/>
  <c r="DG5" i="3"/>
  <c r="DF5" i="3"/>
  <c r="DE5" i="3"/>
  <c r="DD5" i="3"/>
  <c r="DC5" i="3"/>
  <c r="CY5" i="3"/>
  <c r="CX5" i="3"/>
  <c r="CW5" i="3"/>
  <c r="CV5" i="3"/>
  <c r="AZ5" i="3"/>
  <c r="AR5" i="3"/>
  <c r="Z5" i="3"/>
  <c r="W5" i="3"/>
  <c r="V5" i="3"/>
  <c r="R5" i="3"/>
  <c r="P5" i="3"/>
  <c r="M5" i="3"/>
  <c r="L5" i="3"/>
  <c r="DI4" i="3"/>
  <c r="DH4" i="3"/>
  <c r="DG4" i="3"/>
  <c r="DF4" i="3"/>
  <c r="DE4" i="3"/>
  <c r="DD4" i="3"/>
  <c r="DC4" i="3"/>
  <c r="CY4" i="3"/>
  <c r="CX4" i="3"/>
  <c r="CW4" i="3"/>
  <c r="CV4" i="3"/>
  <c r="AZ4" i="3"/>
  <c r="AR4" i="3"/>
  <c r="Z4" i="3"/>
  <c r="W4" i="3"/>
  <c r="V4" i="3"/>
  <c r="R4" i="3"/>
  <c r="P4" i="3"/>
  <c r="M4" i="3"/>
  <c r="L4" i="3"/>
  <c r="DI3" i="3"/>
  <c r="DH3" i="3"/>
  <c r="DG3" i="3"/>
  <c r="DF3" i="3"/>
  <c r="DE3" i="3"/>
  <c r="DD3" i="3"/>
  <c r="DC3" i="3"/>
  <c r="CY3" i="3"/>
  <c r="CX3" i="3"/>
  <c r="CW3" i="3"/>
  <c r="CV3" i="3"/>
  <c r="AZ3" i="3"/>
  <c r="AR3" i="3"/>
  <c r="Z3" i="3"/>
  <c r="W3" i="3"/>
  <c r="V3" i="3"/>
  <c r="R3" i="3"/>
  <c r="P3" i="3"/>
  <c r="M3" i="3"/>
  <c r="L3" i="3"/>
  <c r="DI2" i="3"/>
  <c r="DH2" i="3"/>
  <c r="DG2" i="3"/>
  <c r="DF2" i="3"/>
  <c r="DE2" i="3"/>
  <c r="DD2" i="3"/>
  <c r="DC2" i="3"/>
  <c r="CY2" i="3"/>
  <c r="CX2" i="3"/>
  <c r="CW2" i="3"/>
  <c r="CV2" i="3"/>
  <c r="AZ2" i="3"/>
  <c r="AR2" i="3"/>
  <c r="Z2" i="3"/>
  <c r="W2" i="3"/>
  <c r="V2" i="3"/>
  <c r="R2" i="3"/>
  <c r="P2" i="3"/>
  <c r="M2" i="3"/>
  <c r="L2" i="3"/>
  <c r="BN48" i="2"/>
  <c r="BH48" i="2"/>
  <c r="BG48" i="2"/>
  <c r="AY48" i="2"/>
  <c r="AS48" i="2"/>
  <c r="AA48" i="2"/>
  <c r="Z48" i="2"/>
  <c r="L48" i="2"/>
  <c r="H48" i="2"/>
  <c r="BN47" i="2"/>
  <c r="BH47" i="2"/>
  <c r="BG47" i="2"/>
  <c r="AY47" i="2"/>
  <c r="AS47" i="2"/>
  <c r="AA47" i="2"/>
  <c r="Z47" i="2"/>
  <c r="L47" i="2"/>
  <c r="H47" i="2"/>
  <c r="BN46" i="2"/>
  <c r="BH46" i="2"/>
  <c r="BG46" i="2"/>
  <c r="AY46" i="2"/>
  <c r="AS46" i="2"/>
  <c r="AA46" i="2"/>
  <c r="Z46" i="2"/>
  <c r="L46" i="2"/>
  <c r="H46" i="2"/>
  <c r="BN45" i="2"/>
  <c r="BH45" i="2"/>
  <c r="BG45" i="2"/>
  <c r="AY45" i="2"/>
  <c r="AS45" i="2"/>
  <c r="AA45" i="2"/>
  <c r="Z45" i="2"/>
  <c r="L45" i="2"/>
  <c r="H45" i="2"/>
  <c r="BN44" i="2"/>
  <c r="BH44" i="2"/>
  <c r="BG44" i="2"/>
  <c r="BB44" i="2"/>
  <c r="AY44" i="2"/>
  <c r="AS44" i="2"/>
  <c r="AA44" i="2"/>
  <c r="Z44" i="2"/>
  <c r="L44" i="2"/>
  <c r="K44" i="2"/>
  <c r="H44" i="2"/>
  <c r="BN43" i="2"/>
  <c r="BH43" i="2"/>
  <c r="BG43" i="2"/>
  <c r="BB43" i="2"/>
  <c r="AY43" i="2"/>
  <c r="AS43" i="2"/>
  <c r="AA43" i="2"/>
  <c r="Z43" i="2"/>
  <c r="L43" i="2"/>
  <c r="K43" i="2"/>
  <c r="H43" i="2"/>
  <c r="BN42" i="2"/>
  <c r="BH42" i="2"/>
  <c r="BG42" i="2"/>
  <c r="BB42" i="2"/>
  <c r="AY42" i="2"/>
  <c r="AS42" i="2"/>
  <c r="AA42" i="2"/>
  <c r="Z42" i="2"/>
  <c r="L42" i="2"/>
  <c r="K42" i="2"/>
  <c r="H42" i="2"/>
  <c r="BN41" i="2"/>
  <c r="BH41" i="2"/>
  <c r="BG41" i="2"/>
  <c r="BB41" i="2"/>
  <c r="AY41" i="2"/>
  <c r="AS41" i="2"/>
  <c r="AA41" i="2"/>
  <c r="Z41" i="2"/>
  <c r="L41" i="2"/>
  <c r="K41" i="2"/>
  <c r="H41" i="2"/>
  <c r="BN40" i="2"/>
  <c r="BH40" i="2"/>
  <c r="BG40" i="2"/>
  <c r="BB40" i="2"/>
  <c r="AY40" i="2"/>
  <c r="AS40" i="2"/>
  <c r="AA40" i="2"/>
  <c r="Z40" i="2"/>
  <c r="L40" i="2"/>
  <c r="K40" i="2"/>
  <c r="H40" i="2"/>
  <c r="BN39" i="2"/>
  <c r="BH39" i="2"/>
  <c r="BG39" i="2"/>
  <c r="BB39" i="2"/>
  <c r="AY39" i="2"/>
  <c r="AS39" i="2"/>
  <c r="AA39" i="2"/>
  <c r="Z39" i="2"/>
  <c r="L39" i="2"/>
  <c r="K39" i="2"/>
  <c r="H39" i="2"/>
  <c r="BN38" i="2"/>
  <c r="BH38" i="2"/>
  <c r="BG38" i="2"/>
  <c r="BB38" i="2"/>
  <c r="AY38" i="2"/>
  <c r="AS38" i="2"/>
  <c r="AA38" i="2"/>
  <c r="Z38" i="2"/>
  <c r="L38" i="2"/>
  <c r="K38" i="2"/>
  <c r="H38" i="2"/>
  <c r="BN37" i="2"/>
  <c r="BH37" i="2"/>
  <c r="BG37" i="2"/>
  <c r="BB37" i="2"/>
  <c r="AY37" i="2"/>
  <c r="AS37" i="2"/>
  <c r="AA37" i="2"/>
  <c r="Z37" i="2"/>
  <c r="L37" i="2"/>
  <c r="K37" i="2"/>
  <c r="H37" i="2"/>
  <c r="BN36" i="2"/>
  <c r="BH36" i="2"/>
  <c r="BG36" i="2"/>
  <c r="BB36" i="2"/>
  <c r="AY36" i="2"/>
  <c r="AS36" i="2"/>
  <c r="AA36" i="2"/>
  <c r="Z36" i="2"/>
  <c r="L36" i="2"/>
  <c r="K36" i="2"/>
  <c r="H36" i="2"/>
  <c r="BN35" i="2"/>
  <c r="BH35" i="2"/>
  <c r="BG35" i="2"/>
  <c r="BB35" i="2"/>
  <c r="AY35" i="2"/>
  <c r="AS35" i="2"/>
  <c r="AA35" i="2"/>
  <c r="Z35" i="2"/>
  <c r="L35" i="2"/>
  <c r="K35" i="2"/>
  <c r="H35" i="2"/>
  <c r="BN34" i="2"/>
  <c r="BH34" i="2"/>
  <c r="BG34" i="2"/>
  <c r="BB34" i="2"/>
  <c r="AY34" i="2"/>
  <c r="AS34" i="2"/>
  <c r="AA34" i="2"/>
  <c r="Z34" i="2"/>
  <c r="L34" i="2"/>
  <c r="K34" i="2"/>
  <c r="H34" i="2"/>
  <c r="BN33" i="2"/>
  <c r="BH33" i="2"/>
  <c r="BG33" i="2"/>
  <c r="BB33" i="2"/>
  <c r="AY33" i="2"/>
  <c r="AS33" i="2"/>
  <c r="AA33" i="2"/>
  <c r="Z33" i="2"/>
  <c r="L33" i="2"/>
  <c r="K33" i="2"/>
  <c r="H33" i="2"/>
  <c r="BN32" i="2"/>
  <c r="BH32" i="2"/>
  <c r="BG32" i="2"/>
  <c r="BB32" i="2"/>
  <c r="AY32" i="2"/>
  <c r="AS32" i="2"/>
  <c r="AA32" i="2"/>
  <c r="Z32" i="2"/>
  <c r="L32" i="2"/>
  <c r="K32" i="2"/>
  <c r="H32" i="2"/>
  <c r="BN31" i="2"/>
  <c r="BH31" i="2"/>
  <c r="BG31" i="2"/>
  <c r="BB31" i="2"/>
  <c r="AY31" i="2"/>
  <c r="AS31" i="2"/>
  <c r="AA31" i="2"/>
  <c r="Z31" i="2"/>
  <c r="L31" i="2"/>
  <c r="K31" i="2"/>
  <c r="H31" i="2"/>
  <c r="BN30" i="2"/>
  <c r="BH30" i="2"/>
  <c r="BG30" i="2"/>
  <c r="BB30" i="2"/>
  <c r="AY30" i="2"/>
  <c r="AS30" i="2"/>
  <c r="AA30" i="2"/>
  <c r="Z30" i="2"/>
  <c r="L30" i="2"/>
  <c r="K30" i="2"/>
  <c r="H30" i="2"/>
  <c r="BN29" i="2"/>
  <c r="BH29" i="2"/>
  <c r="BG29" i="2"/>
  <c r="BB29" i="2"/>
  <c r="AY29" i="2"/>
  <c r="AS29" i="2"/>
  <c r="AA29" i="2"/>
  <c r="Z29" i="2"/>
  <c r="L29" i="2"/>
  <c r="K29" i="2"/>
  <c r="H29" i="2"/>
  <c r="BN28" i="2"/>
  <c r="BH28" i="2"/>
  <c r="BG28" i="2"/>
  <c r="BB28" i="2"/>
  <c r="AY28" i="2"/>
  <c r="AS28" i="2"/>
  <c r="AA28" i="2"/>
  <c r="Z28" i="2"/>
  <c r="L28" i="2"/>
  <c r="K28" i="2"/>
  <c r="H28" i="2"/>
  <c r="BN27" i="2"/>
  <c r="BH27" i="2"/>
  <c r="BG27" i="2"/>
  <c r="BB27" i="2"/>
  <c r="AY27" i="2"/>
  <c r="AS27" i="2"/>
  <c r="AA27" i="2"/>
  <c r="Z27" i="2"/>
  <c r="L27" i="2"/>
  <c r="K27" i="2"/>
  <c r="H27" i="2"/>
  <c r="BN26" i="2"/>
  <c r="BH26" i="2"/>
  <c r="BG26" i="2"/>
  <c r="BB26" i="2"/>
  <c r="AY26" i="2"/>
  <c r="AS26" i="2"/>
  <c r="AA26" i="2"/>
  <c r="Z26" i="2"/>
  <c r="L26" i="2"/>
  <c r="K26" i="2"/>
  <c r="H26" i="2"/>
  <c r="BN25" i="2"/>
  <c r="BH25" i="2"/>
  <c r="BG25" i="2"/>
  <c r="BB25" i="2"/>
  <c r="AY25" i="2"/>
  <c r="AS25" i="2"/>
  <c r="AA25" i="2"/>
  <c r="Z25" i="2"/>
  <c r="L25" i="2"/>
  <c r="K25" i="2"/>
  <c r="H25" i="2"/>
  <c r="BN24" i="2"/>
  <c r="BH24" i="2"/>
  <c r="BG24" i="2"/>
  <c r="BB24" i="2"/>
  <c r="AY24" i="2"/>
  <c r="AS24" i="2"/>
  <c r="AA24" i="2"/>
  <c r="Z24" i="2"/>
  <c r="L24" i="2"/>
  <c r="K24" i="2"/>
  <c r="H24" i="2"/>
  <c r="BN23" i="2"/>
  <c r="BH23" i="2"/>
  <c r="BG23" i="2"/>
  <c r="BB23" i="2"/>
  <c r="AY23" i="2"/>
  <c r="AS23" i="2"/>
  <c r="AA23" i="2"/>
  <c r="Z23" i="2"/>
  <c r="L23" i="2"/>
  <c r="K23" i="2"/>
  <c r="H23" i="2"/>
  <c r="BN22" i="2"/>
  <c r="BH22" i="2"/>
  <c r="BG22" i="2"/>
  <c r="BB22" i="2"/>
  <c r="AY22" i="2"/>
  <c r="AS22" i="2"/>
  <c r="AA22" i="2"/>
  <c r="Z22" i="2"/>
  <c r="L22" i="2"/>
  <c r="K22" i="2"/>
  <c r="H22" i="2"/>
  <c r="BN21" i="2"/>
  <c r="BH21" i="2"/>
  <c r="BG21" i="2"/>
  <c r="BB21" i="2"/>
  <c r="AY21" i="2"/>
  <c r="AS21" i="2"/>
  <c r="AA21" i="2"/>
  <c r="Z21" i="2"/>
  <c r="L21" i="2"/>
  <c r="K21" i="2"/>
  <c r="H21" i="2"/>
  <c r="BN20" i="2"/>
  <c r="BH20" i="2"/>
  <c r="BG20" i="2"/>
  <c r="BB20" i="2"/>
  <c r="AY20" i="2"/>
  <c r="AS20" i="2"/>
  <c r="AA20" i="2"/>
  <c r="Z20" i="2"/>
  <c r="L20" i="2"/>
  <c r="K20" i="2"/>
  <c r="H20" i="2"/>
  <c r="BN19" i="2"/>
  <c r="BH19" i="2"/>
  <c r="BG19" i="2"/>
  <c r="BB19" i="2"/>
  <c r="AY19" i="2"/>
  <c r="AS19" i="2"/>
  <c r="AA19" i="2"/>
  <c r="Z19" i="2"/>
  <c r="L19" i="2"/>
  <c r="K19" i="2"/>
  <c r="H19" i="2"/>
  <c r="BN18" i="2"/>
  <c r="BH18" i="2"/>
  <c r="BG18" i="2"/>
  <c r="BB18" i="2"/>
  <c r="AY18" i="2"/>
  <c r="AS18" i="2"/>
  <c r="AA18" i="2"/>
  <c r="Z18" i="2"/>
  <c r="L18" i="2"/>
  <c r="K18" i="2"/>
  <c r="H18" i="2"/>
  <c r="BN17" i="2"/>
  <c r="BH17" i="2"/>
  <c r="BG17" i="2"/>
  <c r="BB17" i="2"/>
  <c r="AY17" i="2"/>
  <c r="AS17" i="2"/>
  <c r="AA17" i="2"/>
  <c r="Z17" i="2"/>
  <c r="L17" i="2"/>
  <c r="K17" i="2"/>
  <c r="H17" i="2"/>
  <c r="BN16" i="2"/>
  <c r="BH16" i="2"/>
  <c r="BG16" i="2"/>
  <c r="BB16" i="2"/>
  <c r="AY16" i="2"/>
  <c r="AS16" i="2"/>
  <c r="AA16" i="2"/>
  <c r="Z16" i="2"/>
  <c r="L16" i="2"/>
  <c r="K16" i="2"/>
  <c r="H16" i="2"/>
  <c r="BN15" i="2"/>
  <c r="BH15" i="2"/>
  <c r="BG15" i="2"/>
  <c r="BB15" i="2"/>
  <c r="AY15" i="2"/>
  <c r="AS15" i="2"/>
  <c r="AA15" i="2"/>
  <c r="Z15" i="2"/>
  <c r="L15" i="2"/>
  <c r="K15" i="2"/>
  <c r="H15" i="2"/>
  <c r="BN14" i="2"/>
  <c r="BH14" i="2"/>
  <c r="BG14" i="2"/>
  <c r="BB14" i="2"/>
  <c r="AY14" i="2"/>
  <c r="AS14" i="2"/>
  <c r="AA14" i="2"/>
  <c r="Z14" i="2"/>
  <c r="L14" i="2"/>
  <c r="K14" i="2"/>
  <c r="H14" i="2"/>
  <c r="BN13" i="2"/>
  <c r="BH13" i="2"/>
  <c r="BG13" i="2"/>
  <c r="BB13" i="2"/>
  <c r="AY13" i="2"/>
  <c r="AS13" i="2"/>
  <c r="AA13" i="2"/>
  <c r="Z13" i="2"/>
  <c r="L13" i="2"/>
  <c r="K13" i="2"/>
  <c r="H13" i="2"/>
  <c r="BN12" i="2"/>
  <c r="BH12" i="2"/>
  <c r="BG12" i="2"/>
  <c r="BB12" i="2"/>
  <c r="AY12" i="2"/>
  <c r="AS12" i="2"/>
  <c r="AA12" i="2"/>
  <c r="Z12" i="2"/>
  <c r="L12" i="2"/>
  <c r="K12" i="2"/>
  <c r="H12" i="2"/>
  <c r="BN11" i="2"/>
  <c r="BH11" i="2"/>
  <c r="BG11" i="2"/>
  <c r="BB11" i="2"/>
  <c r="AY11" i="2"/>
  <c r="AS11" i="2"/>
  <c r="AA11" i="2"/>
  <c r="Z11" i="2"/>
  <c r="L11" i="2"/>
  <c r="K11" i="2"/>
  <c r="H11" i="2"/>
  <c r="BN10" i="2"/>
  <c r="BH10" i="2"/>
  <c r="BG10" i="2"/>
  <c r="BB10" i="2"/>
  <c r="AY10" i="2"/>
  <c r="AS10" i="2"/>
  <c r="AA10" i="2"/>
  <c r="Z10" i="2"/>
  <c r="L10" i="2"/>
  <c r="K10" i="2"/>
  <c r="H10" i="2"/>
  <c r="BN9" i="2"/>
  <c r="BH9" i="2"/>
  <c r="BG9" i="2"/>
  <c r="BB9" i="2"/>
  <c r="AY9" i="2"/>
  <c r="AS9" i="2"/>
  <c r="AA9" i="2"/>
  <c r="Z9" i="2"/>
  <c r="L9" i="2"/>
  <c r="K9" i="2"/>
  <c r="H9" i="2"/>
  <c r="BN8" i="2"/>
  <c r="BH8" i="2"/>
  <c r="BG8" i="2"/>
  <c r="BB8" i="2"/>
  <c r="AY8" i="2"/>
  <c r="AS8" i="2"/>
  <c r="AA8" i="2"/>
  <c r="Z8" i="2"/>
  <c r="L8" i="2"/>
  <c r="K8" i="2"/>
  <c r="H8" i="2"/>
  <c r="BN7" i="2"/>
  <c r="BH7" i="2"/>
  <c r="BG7" i="2"/>
  <c r="BB7" i="2"/>
  <c r="AY7" i="2"/>
  <c r="AS7" i="2"/>
  <c r="AA7" i="2"/>
  <c r="Z7" i="2"/>
  <c r="L7" i="2"/>
  <c r="K7" i="2"/>
  <c r="H7" i="2"/>
  <c r="BN6" i="2"/>
  <c r="BH6" i="2"/>
  <c r="BG6" i="2"/>
  <c r="BB6" i="2"/>
  <c r="AY6" i="2"/>
  <c r="AS6" i="2"/>
  <c r="AA6" i="2"/>
  <c r="Z6" i="2"/>
  <c r="L6" i="2"/>
  <c r="K6" i="2"/>
  <c r="H6" i="2"/>
  <c r="BN5" i="2"/>
  <c r="BH5" i="2"/>
  <c r="BG5" i="2"/>
  <c r="BB5" i="2"/>
  <c r="AY5" i="2"/>
  <c r="AS5" i="2"/>
  <c r="AA5" i="2"/>
  <c r="Z5" i="2"/>
  <c r="L5" i="2"/>
  <c r="K5" i="2"/>
  <c r="H5" i="2"/>
  <c r="BN4" i="2"/>
  <c r="BH4" i="2"/>
  <c r="BG4" i="2"/>
  <c r="BB4" i="2"/>
  <c r="AS4" i="2"/>
  <c r="AA4" i="2"/>
  <c r="Z4" i="2"/>
  <c r="L4" i="2"/>
  <c r="K4" i="2"/>
  <c r="H4" i="2"/>
  <c r="BN3" i="2"/>
  <c r="BH3" i="2"/>
  <c r="BG3" i="2"/>
  <c r="BB3" i="2"/>
  <c r="AY3" i="2"/>
  <c r="AS3" i="2"/>
  <c r="AA3" i="2"/>
  <c r="Z3" i="2"/>
  <c r="L3" i="2"/>
  <c r="K3" i="2"/>
  <c r="AB49" i="1"/>
  <c r="Y49" i="1"/>
  <c r="V49" i="1"/>
  <c r="T49" i="1"/>
  <c r="S49" i="1"/>
  <c r="Q49" i="1"/>
  <c r="P49" i="1"/>
  <c r="M49" i="1"/>
  <c r="J49" i="1"/>
  <c r="G49" i="1"/>
  <c r="AB48" i="1"/>
  <c r="Y48" i="1"/>
  <c r="P48" i="1"/>
  <c r="M48" i="1"/>
  <c r="AB47" i="1"/>
  <c r="Y47" i="1"/>
  <c r="P47" i="1"/>
  <c r="M47" i="1"/>
  <c r="AB46" i="1"/>
  <c r="Y46" i="1"/>
  <c r="V46" i="1"/>
  <c r="T46" i="1"/>
  <c r="S46" i="1"/>
  <c r="Q46" i="1"/>
  <c r="P46" i="1"/>
  <c r="M46" i="1"/>
  <c r="J46" i="1"/>
  <c r="G46" i="1"/>
  <c r="AB45" i="1"/>
  <c r="Y45" i="1"/>
  <c r="V45" i="1"/>
  <c r="T45" i="1"/>
  <c r="S45" i="1"/>
  <c r="Q45" i="1"/>
  <c r="P45" i="1"/>
  <c r="M45" i="1"/>
  <c r="J45" i="1"/>
  <c r="G45" i="1"/>
  <c r="AB44" i="1"/>
  <c r="Y44" i="1"/>
  <c r="V44" i="1"/>
  <c r="T44" i="1"/>
  <c r="S44" i="1"/>
  <c r="Q44" i="1"/>
  <c r="P44" i="1"/>
  <c r="M44" i="1"/>
  <c r="J44" i="1"/>
  <c r="G44" i="1"/>
  <c r="AB43" i="1"/>
  <c r="Y43" i="1"/>
  <c r="V43" i="1"/>
  <c r="T43" i="1"/>
  <c r="S43" i="1"/>
  <c r="Q43" i="1"/>
  <c r="P43" i="1"/>
  <c r="M43" i="1"/>
  <c r="J43" i="1"/>
  <c r="G43" i="1"/>
  <c r="AB42" i="1"/>
  <c r="Y42" i="1"/>
  <c r="V42" i="1"/>
  <c r="T42" i="1"/>
  <c r="S42" i="1"/>
  <c r="Q42" i="1"/>
  <c r="P42" i="1"/>
  <c r="M42" i="1"/>
  <c r="J42" i="1"/>
  <c r="G42" i="1"/>
  <c r="AB41" i="1"/>
  <c r="Y41" i="1"/>
  <c r="V41" i="1"/>
  <c r="T41" i="1"/>
  <c r="S41" i="1"/>
  <c r="Q41" i="1"/>
  <c r="P41" i="1"/>
  <c r="M41" i="1"/>
  <c r="J41" i="1"/>
  <c r="G41" i="1"/>
  <c r="AB40" i="1"/>
  <c r="Y40" i="1"/>
  <c r="V40" i="1"/>
  <c r="T40" i="1"/>
  <c r="S40" i="1"/>
  <c r="Q40" i="1"/>
  <c r="P40" i="1"/>
  <c r="M40" i="1"/>
  <c r="J40" i="1"/>
  <c r="G40" i="1"/>
  <c r="AB39" i="1"/>
  <c r="Y39" i="1"/>
  <c r="V39" i="1"/>
  <c r="T39" i="1"/>
  <c r="S39" i="1"/>
  <c r="Q39" i="1"/>
  <c r="P39" i="1"/>
  <c r="M39" i="1"/>
  <c r="J39" i="1"/>
  <c r="G39" i="1"/>
  <c r="AB38" i="1"/>
  <c r="Y38" i="1"/>
  <c r="V38" i="1"/>
  <c r="T38" i="1"/>
  <c r="S38" i="1"/>
  <c r="Q38" i="1"/>
  <c r="P38" i="1"/>
  <c r="M38" i="1"/>
  <c r="J38" i="1"/>
  <c r="G38" i="1"/>
  <c r="AB37" i="1"/>
  <c r="Y37" i="1"/>
  <c r="V37" i="1"/>
  <c r="T37" i="1"/>
  <c r="S37" i="1"/>
  <c r="Q37" i="1"/>
  <c r="P37" i="1"/>
  <c r="M37" i="1"/>
  <c r="J37" i="1"/>
  <c r="G37" i="1"/>
  <c r="AB36" i="1"/>
  <c r="Y36" i="1"/>
  <c r="V36" i="1"/>
  <c r="T36" i="1"/>
  <c r="S36" i="1"/>
  <c r="Q36" i="1"/>
  <c r="P36" i="1"/>
  <c r="M36" i="1"/>
  <c r="J36" i="1"/>
  <c r="G36" i="1"/>
  <c r="AB35" i="1"/>
  <c r="Y35" i="1"/>
  <c r="V35" i="1"/>
  <c r="T35" i="1"/>
  <c r="S35" i="1"/>
  <c r="Q35" i="1"/>
  <c r="P35" i="1"/>
  <c r="M35" i="1"/>
  <c r="J35" i="1"/>
  <c r="G35" i="1"/>
  <c r="AB34" i="1"/>
  <c r="Y34" i="1"/>
  <c r="V34" i="1"/>
  <c r="T34" i="1"/>
  <c r="S34" i="1"/>
  <c r="Q34" i="1"/>
  <c r="P34" i="1"/>
  <c r="M34" i="1"/>
  <c r="J34" i="1"/>
  <c r="G34" i="1"/>
  <c r="AB33" i="1"/>
  <c r="Y33" i="1"/>
  <c r="V33" i="1"/>
  <c r="T33" i="1"/>
  <c r="S33" i="1"/>
  <c r="Q33" i="1"/>
  <c r="P33" i="1"/>
  <c r="M33" i="1"/>
  <c r="J33" i="1"/>
  <c r="G33" i="1"/>
  <c r="AB32" i="1"/>
  <c r="Y32" i="1"/>
  <c r="V32" i="1"/>
  <c r="T32" i="1"/>
  <c r="S32" i="1"/>
  <c r="Q32" i="1"/>
  <c r="P32" i="1"/>
  <c r="M32" i="1"/>
  <c r="J32" i="1"/>
  <c r="G32" i="1"/>
  <c r="AB31" i="1"/>
  <c r="Y31" i="1"/>
  <c r="V31" i="1"/>
  <c r="T31" i="1"/>
  <c r="S31" i="1"/>
  <c r="Q31" i="1"/>
  <c r="P31" i="1"/>
  <c r="M31" i="1"/>
  <c r="J31" i="1"/>
  <c r="G31" i="1"/>
  <c r="AB30" i="1"/>
  <c r="Y30" i="1"/>
  <c r="V30" i="1"/>
  <c r="T30" i="1"/>
  <c r="S30" i="1"/>
  <c r="Q30" i="1"/>
  <c r="P30" i="1"/>
  <c r="M30" i="1"/>
  <c r="J30" i="1"/>
  <c r="G30" i="1"/>
  <c r="AB29" i="1"/>
  <c r="Y29" i="1"/>
  <c r="V29" i="1"/>
  <c r="T29" i="1"/>
  <c r="S29" i="1"/>
  <c r="Q29" i="1"/>
  <c r="P29" i="1"/>
  <c r="M29" i="1"/>
  <c r="J29" i="1"/>
  <c r="G29" i="1"/>
  <c r="AB28" i="1"/>
  <c r="Y28" i="1"/>
  <c r="V28" i="1"/>
  <c r="T28" i="1"/>
  <c r="S28" i="1"/>
  <c r="Q28" i="1"/>
  <c r="P28" i="1"/>
  <c r="M28" i="1"/>
  <c r="J28" i="1"/>
  <c r="G28" i="1"/>
  <c r="AB27" i="1"/>
  <c r="Y27" i="1"/>
  <c r="V27" i="1"/>
  <c r="T27" i="1"/>
  <c r="S27" i="1"/>
  <c r="Q27" i="1"/>
  <c r="P27" i="1"/>
  <c r="M27" i="1"/>
  <c r="J27" i="1"/>
  <c r="G27" i="1"/>
  <c r="AB26" i="1"/>
  <c r="Y26" i="1"/>
  <c r="V26" i="1"/>
  <c r="T26" i="1"/>
  <c r="S26" i="1"/>
  <c r="Q26" i="1"/>
  <c r="P26" i="1"/>
  <c r="M26" i="1"/>
  <c r="J26" i="1"/>
  <c r="G26" i="1"/>
  <c r="AB25" i="1"/>
  <c r="Y25" i="1"/>
  <c r="V25" i="1"/>
  <c r="T25" i="1"/>
  <c r="S25" i="1"/>
  <c r="Q25" i="1"/>
  <c r="P25" i="1"/>
  <c r="M25" i="1"/>
  <c r="J25" i="1"/>
  <c r="G25" i="1"/>
  <c r="AB24" i="1"/>
  <c r="Y24" i="1"/>
  <c r="V24" i="1"/>
  <c r="T24" i="1"/>
  <c r="S24" i="1"/>
  <c r="Q24" i="1"/>
  <c r="P24" i="1"/>
  <c r="M24" i="1"/>
  <c r="J24" i="1"/>
  <c r="G24" i="1"/>
  <c r="AB23" i="1"/>
  <c r="Y23" i="1"/>
  <c r="V23" i="1"/>
  <c r="T23" i="1"/>
  <c r="S23" i="1"/>
  <c r="Q23" i="1"/>
  <c r="P23" i="1"/>
  <c r="M23" i="1"/>
  <c r="J23" i="1"/>
  <c r="G23" i="1"/>
  <c r="AB22" i="1"/>
  <c r="Y22" i="1"/>
  <c r="V22" i="1"/>
  <c r="T22" i="1"/>
  <c r="S22" i="1"/>
  <c r="Q22" i="1"/>
  <c r="P22" i="1"/>
  <c r="M22" i="1"/>
  <c r="J22" i="1"/>
  <c r="G22" i="1"/>
  <c r="AB21" i="1"/>
  <c r="Y21" i="1"/>
  <c r="V21" i="1"/>
  <c r="T21" i="1"/>
  <c r="S21" i="1"/>
  <c r="Q21" i="1"/>
  <c r="P21" i="1"/>
  <c r="M21" i="1"/>
  <c r="J21" i="1"/>
  <c r="G21" i="1"/>
  <c r="AB20" i="1"/>
  <c r="Y20" i="1"/>
  <c r="V20" i="1"/>
  <c r="T20" i="1"/>
  <c r="S20" i="1"/>
  <c r="Q20" i="1"/>
  <c r="P20" i="1"/>
  <c r="M20" i="1"/>
  <c r="J20" i="1"/>
  <c r="G20" i="1"/>
  <c r="AB19" i="1"/>
  <c r="Y19" i="1"/>
  <c r="V19" i="1"/>
  <c r="T19" i="1"/>
  <c r="S19" i="1"/>
  <c r="Q19" i="1"/>
  <c r="P19" i="1"/>
  <c r="M19" i="1"/>
  <c r="J19" i="1"/>
  <c r="G19" i="1"/>
  <c r="AB18" i="1"/>
  <c r="Y18" i="1"/>
  <c r="V18" i="1"/>
  <c r="T18" i="1"/>
  <c r="S18" i="1"/>
  <c r="Q18" i="1"/>
  <c r="P18" i="1"/>
  <c r="M18" i="1"/>
  <c r="J18" i="1"/>
  <c r="G18" i="1"/>
  <c r="AB17" i="1"/>
  <c r="Y17" i="1"/>
  <c r="V17" i="1"/>
  <c r="T17" i="1"/>
  <c r="S17" i="1"/>
  <c r="Q17" i="1"/>
  <c r="P17" i="1"/>
  <c r="M17" i="1"/>
  <c r="J17" i="1"/>
  <c r="G17" i="1"/>
  <c r="AB16" i="1"/>
  <c r="Y16" i="1"/>
  <c r="V16" i="1"/>
  <c r="T16" i="1"/>
  <c r="S16" i="1"/>
  <c r="Q16" i="1"/>
  <c r="P16" i="1"/>
  <c r="M16" i="1"/>
  <c r="J16" i="1"/>
  <c r="G16" i="1"/>
  <c r="AB15" i="1"/>
  <c r="Y15" i="1"/>
  <c r="V15" i="1"/>
  <c r="T15" i="1"/>
  <c r="S15" i="1"/>
  <c r="Q15" i="1"/>
  <c r="P15" i="1"/>
  <c r="M15" i="1"/>
  <c r="J15" i="1"/>
  <c r="G15" i="1"/>
  <c r="AB14" i="1"/>
  <c r="Y14" i="1"/>
  <c r="V14" i="1"/>
  <c r="T14" i="1"/>
  <c r="S14" i="1"/>
  <c r="Q14" i="1"/>
  <c r="P14" i="1"/>
  <c r="M14" i="1"/>
  <c r="J14" i="1"/>
  <c r="G14" i="1"/>
  <c r="AB13" i="1"/>
  <c r="Y13" i="1"/>
  <c r="V13" i="1"/>
  <c r="T13" i="1"/>
  <c r="S13" i="1"/>
  <c r="Q13" i="1"/>
  <c r="P13" i="1"/>
  <c r="M13" i="1"/>
  <c r="J13" i="1"/>
  <c r="G13" i="1"/>
  <c r="AB12" i="1"/>
  <c r="Y12" i="1"/>
  <c r="V12" i="1"/>
  <c r="T12" i="1"/>
  <c r="S12" i="1"/>
  <c r="Q12" i="1"/>
  <c r="P12" i="1"/>
  <c r="M12" i="1"/>
  <c r="J12" i="1"/>
  <c r="G12" i="1"/>
  <c r="AB11" i="1"/>
  <c r="Y11" i="1"/>
  <c r="V11" i="1"/>
  <c r="T11" i="1"/>
  <c r="S11" i="1"/>
  <c r="Q11" i="1"/>
  <c r="P11" i="1"/>
  <c r="M11" i="1"/>
  <c r="J11" i="1"/>
  <c r="G11" i="1"/>
  <c r="AB10" i="1"/>
  <c r="Y10" i="1"/>
  <c r="V10" i="1"/>
  <c r="T10" i="1"/>
  <c r="S10" i="1"/>
  <c r="Q10" i="1"/>
  <c r="P10" i="1"/>
  <c r="M10" i="1"/>
  <c r="J10" i="1"/>
  <c r="G10" i="1"/>
  <c r="AB9" i="1"/>
  <c r="Y9" i="1"/>
  <c r="V9" i="1"/>
  <c r="T9" i="1"/>
  <c r="S9" i="1"/>
  <c r="Q9" i="1"/>
  <c r="P9" i="1"/>
  <c r="M9" i="1"/>
  <c r="J9" i="1"/>
  <c r="G9" i="1"/>
  <c r="AB8" i="1"/>
  <c r="Y8" i="1"/>
  <c r="V8" i="1"/>
  <c r="T8" i="1"/>
  <c r="S8" i="1"/>
  <c r="Q8" i="1"/>
  <c r="P8" i="1"/>
  <c r="M8" i="1"/>
  <c r="J8" i="1"/>
  <c r="G8" i="1"/>
  <c r="AB7" i="1"/>
  <c r="Y7" i="1"/>
  <c r="V7" i="1"/>
  <c r="T7" i="1"/>
  <c r="S7" i="1"/>
  <c r="Q7" i="1"/>
  <c r="P7" i="1"/>
  <c r="M7" i="1"/>
  <c r="J7" i="1"/>
  <c r="G7" i="1"/>
  <c r="AB6" i="1"/>
  <c r="Y6" i="1"/>
  <c r="V6" i="1"/>
  <c r="T6" i="1"/>
  <c r="S6" i="1"/>
  <c r="Q6" i="1"/>
  <c r="P6" i="1"/>
  <c r="M6" i="1"/>
  <c r="J6" i="1"/>
  <c r="G6" i="1"/>
  <c r="AB5" i="1"/>
  <c r="Y5" i="1"/>
  <c r="V5" i="1"/>
  <c r="T5" i="1"/>
  <c r="S5" i="1"/>
  <c r="Q5" i="1"/>
  <c r="P5" i="1"/>
  <c r="M5" i="1"/>
  <c r="J5" i="1"/>
  <c r="G5" i="1"/>
  <c r="AB4" i="1"/>
  <c r="Y4" i="1"/>
  <c r="V4" i="1"/>
  <c r="T4" i="1"/>
  <c r="S4" i="1"/>
  <c r="Q4" i="1"/>
  <c r="P4" i="1"/>
  <c r="M4" i="1"/>
  <c r="J4" i="1"/>
  <c r="G4" i="1"/>
</calcChain>
</file>

<file path=xl/sharedStrings.xml><?xml version="1.0" encoding="utf-8"?>
<sst xmlns="http://schemas.openxmlformats.org/spreadsheetml/2006/main" count="1043" uniqueCount="347">
  <si>
    <t>20级大数据2001班历年专业综测+智育成绩</t>
  </si>
  <si>
    <t>基本信息</t>
  </si>
  <si>
    <t>大一上学期</t>
  </si>
  <si>
    <t>大一下学期</t>
  </si>
  <si>
    <t>大一学年</t>
  </si>
  <si>
    <t>大二上学期</t>
  </si>
  <si>
    <t>序号</t>
  </si>
  <si>
    <t>姓名</t>
  </si>
  <si>
    <t>班级</t>
  </si>
  <si>
    <t>学号</t>
  </si>
  <si>
    <t>智育</t>
  </si>
  <si>
    <t>班级排名</t>
  </si>
  <si>
    <t>专业排名</t>
  </si>
  <si>
    <t>综测</t>
  </si>
  <si>
    <t>排名</t>
  </si>
  <si>
    <t>智育合计</t>
  </si>
  <si>
    <t>智育排名</t>
  </si>
  <si>
    <t>综测合计</t>
  </si>
  <si>
    <t>综测排名</t>
  </si>
  <si>
    <t>李雨珊</t>
  </si>
  <si>
    <r>
      <rPr>
        <sz val="10"/>
        <color rgb="FF000000"/>
        <rFont val="Arial"/>
        <family val="2"/>
      </rPr>
      <t>2001</t>
    </r>
    <r>
      <rPr>
        <sz val="10"/>
        <color rgb="FF000000"/>
        <rFont val="宋体"/>
        <family val="3"/>
        <charset val="134"/>
      </rPr>
      <t>班</t>
    </r>
  </si>
  <si>
    <t>徐佳豪</t>
  </si>
  <si>
    <t>刘颖泽</t>
  </si>
  <si>
    <t>李斯婕</t>
  </si>
  <si>
    <t>马晴</t>
  </si>
  <si>
    <t>袁智鹏</t>
  </si>
  <si>
    <t>徐瑞阳</t>
  </si>
  <si>
    <t>安旗</t>
  </si>
  <si>
    <t>陈蕊芬</t>
  </si>
  <si>
    <t>何嘉星</t>
  </si>
  <si>
    <t>李瑾玥</t>
  </si>
  <si>
    <t>樊尚青</t>
  </si>
  <si>
    <t>辛洋坤</t>
  </si>
  <si>
    <t>王曦</t>
  </si>
  <si>
    <t>夏增辉</t>
  </si>
  <si>
    <t>张兴</t>
  </si>
  <si>
    <t>曹书铨</t>
  </si>
  <si>
    <t>任秀宁</t>
  </si>
  <si>
    <t>仇磊</t>
  </si>
  <si>
    <t>赵懿倩</t>
  </si>
  <si>
    <t>陈佳璐</t>
  </si>
  <si>
    <t>龚孙程</t>
  </si>
  <si>
    <t>王佳萌</t>
  </si>
  <si>
    <t>周梦尧</t>
  </si>
  <si>
    <t>刘睿元</t>
  </si>
  <si>
    <t>甘璐鹭</t>
  </si>
  <si>
    <t>马静</t>
  </si>
  <si>
    <t>田紫薇</t>
  </si>
  <si>
    <t>陶江笑</t>
  </si>
  <si>
    <t>杨锦</t>
  </si>
  <si>
    <t>马聪</t>
  </si>
  <si>
    <t>刘艳芳</t>
  </si>
  <si>
    <t>刘梓石</t>
  </si>
  <si>
    <t>雷宇彤</t>
  </si>
  <si>
    <t>秦子茜</t>
  </si>
  <si>
    <t>冯国强</t>
  </si>
  <si>
    <t>蒋少杰</t>
  </si>
  <si>
    <t>李文涛</t>
  </si>
  <si>
    <t>陈坤</t>
  </si>
  <si>
    <t>马苗苗</t>
  </si>
  <si>
    <t>王子熠</t>
  </si>
  <si>
    <t>巩严涛</t>
  </si>
  <si>
    <t>余莉丽</t>
  </si>
  <si>
    <t>梁沁涵</t>
  </si>
  <si>
    <t>转专业</t>
  </si>
  <si>
    <t>王新茹</t>
  </si>
  <si>
    <t>聂光军</t>
  </si>
  <si>
    <t>（各班根据学生获奖情况做调整）</t>
  </si>
  <si>
    <t>智育素质测评基础分(F2a)（各专业根据课表做调整）</t>
  </si>
  <si>
    <t>智育素质测评奖励分（F2b）（各班根据学生获奖情况做调整）</t>
  </si>
  <si>
    <t>体育素质测评(F3)满分5分</t>
  </si>
  <si>
    <t>美育素质测评(F4)满分5分</t>
  </si>
  <si>
    <t>劳育素质测评(F5)满分5分</t>
  </si>
  <si>
    <t>综测一览分</t>
  </si>
  <si>
    <t>满分15分</t>
  </si>
  <si>
    <t>基础分</t>
  </si>
  <si>
    <t>班委学生会</t>
  </si>
  <si>
    <t>全勤</t>
  </si>
  <si>
    <t>荣誉称号</t>
  </si>
  <si>
    <t>加分项总和</t>
  </si>
  <si>
    <t>违反校规</t>
  </si>
  <si>
    <t>旷课（扣分项）</t>
  </si>
  <si>
    <t>扣分项总和</t>
  </si>
  <si>
    <t>F1总分</t>
  </si>
  <si>
    <t>满分70分</t>
  </si>
  <si>
    <t>数据结构</t>
  </si>
  <si>
    <t>c语言课程设计</t>
  </si>
  <si>
    <t>数字逻辑</t>
  </si>
  <si>
    <t>大学英语</t>
  </si>
  <si>
    <t>高等数学</t>
  </si>
  <si>
    <t>概率论</t>
  </si>
  <si>
    <t>思想道德</t>
  </si>
  <si>
    <t>军事理论</t>
  </si>
  <si>
    <t>心理健康</t>
  </si>
  <si>
    <t>国家安全教育</t>
  </si>
  <si>
    <t>大学物理</t>
  </si>
  <si>
    <t>专业认知实习</t>
  </si>
  <si>
    <t>智育成绩</t>
  </si>
  <si>
    <t>F2a总分</t>
  </si>
  <si>
    <t>计算机设计大赛</t>
  </si>
  <si>
    <t>天梯赛</t>
  </si>
  <si>
    <t>普通话</t>
  </si>
  <si>
    <t>蓝桥杯</t>
  </si>
  <si>
    <t>数学建模</t>
  </si>
  <si>
    <t>三创</t>
  </si>
  <si>
    <t>软件创新大赛</t>
  </si>
  <si>
    <t>先进成图技术与产品信息建模创新大赛</t>
  </si>
  <si>
    <t>互联网+产业命题</t>
  </si>
  <si>
    <t>互联网+红旅赛道</t>
  </si>
  <si>
    <t>数学竞赛</t>
  </si>
  <si>
    <t>网络挑战大赛</t>
  </si>
  <si>
    <t>物联网设计大赛</t>
  </si>
  <si>
    <t>辩论赛(团委)</t>
  </si>
  <si>
    <t>心理知识竞赛</t>
  </si>
  <si>
    <t>F2b总分</t>
  </si>
  <si>
    <t>体育成绩</t>
  </si>
  <si>
    <t>体测</t>
  </si>
  <si>
    <t>正向加分</t>
  </si>
  <si>
    <t>反向减分</t>
  </si>
  <si>
    <t>体育总分</t>
  </si>
  <si>
    <t>艺术教育</t>
  </si>
  <si>
    <t>艺术实践</t>
  </si>
  <si>
    <t>美育总分</t>
  </si>
  <si>
    <t>劳动教育</t>
  </si>
  <si>
    <t>劳育总分</t>
  </si>
  <si>
    <t>F3总分</t>
  </si>
  <si>
    <t>德育素质F1</t>
  </si>
  <si>
    <t xml:space="preserve">智育素质F2 </t>
  </si>
  <si>
    <t>素质发展F3</t>
  </si>
  <si>
    <t>孙烨</t>
  </si>
  <si>
    <t>德育素质测评(F1)（满分15）</t>
  </si>
  <si>
    <t>智育素质测评(F2=F2a＋F2b)（满分70）</t>
  </si>
  <si>
    <t>素质发展测评(F3)（满分15分）</t>
  </si>
  <si>
    <t>葛欣纯</t>
  </si>
  <si>
    <t>谭少娟</t>
  </si>
  <si>
    <t>乔佳音</t>
  </si>
  <si>
    <t>权信哲</t>
  </si>
  <si>
    <t>王晨昊</t>
  </si>
  <si>
    <t>王宇成</t>
  </si>
  <si>
    <t>文慈鑫</t>
  </si>
  <si>
    <t>吴诗雨</t>
  </si>
  <si>
    <t>谢申雪</t>
  </si>
  <si>
    <t>严文龙</t>
  </si>
  <si>
    <t>杨川晟</t>
  </si>
  <si>
    <t>杨家杰</t>
  </si>
  <si>
    <t>张恩铭</t>
  </si>
  <si>
    <t>张慧慧</t>
  </si>
  <si>
    <t>张旭</t>
  </si>
  <si>
    <t>章怡欣</t>
  </si>
  <si>
    <t>朱一凡</t>
  </si>
  <si>
    <t>杨怡优</t>
  </si>
  <si>
    <t>李华炜</t>
  </si>
  <si>
    <t>董一泽</t>
  </si>
  <si>
    <t>刘家乐</t>
  </si>
  <si>
    <t>何静</t>
  </si>
  <si>
    <t>吕嘉欣</t>
  </si>
  <si>
    <t>李蓉蒨</t>
  </si>
  <si>
    <t>胡宏伟</t>
  </si>
  <si>
    <t>李明阳</t>
  </si>
  <si>
    <t>黄辰宇</t>
  </si>
  <si>
    <t>李明轩</t>
  </si>
  <si>
    <t>马宇轩</t>
  </si>
  <si>
    <t>齐文涛</t>
  </si>
  <si>
    <t>晁俊豪</t>
  </si>
  <si>
    <t>林靖宇</t>
  </si>
  <si>
    <t>傅奔翰</t>
  </si>
  <si>
    <t>高嘉轩</t>
  </si>
  <si>
    <t>胡淇</t>
  </si>
  <si>
    <t>黄文迪</t>
  </si>
  <si>
    <t>郭佳宝</t>
  </si>
  <si>
    <t>李旭海</t>
  </si>
  <si>
    <t>桂君儒</t>
  </si>
  <si>
    <t>陈昊宇</t>
  </si>
  <si>
    <t>彭陨俊</t>
  </si>
  <si>
    <t>冯天啟</t>
  </si>
  <si>
    <t>何鑫</t>
  </si>
  <si>
    <t>李宇鑫</t>
  </si>
  <si>
    <t>吉瑞丹</t>
  </si>
  <si>
    <t>第一部分  学业成绩</t>
  </si>
  <si>
    <t>C成绩</t>
  </si>
  <si>
    <t>物理</t>
  </si>
  <si>
    <t>高代</t>
  </si>
  <si>
    <t>数据思维训练营</t>
  </si>
  <si>
    <t>数学分析成绩</t>
  </si>
  <si>
    <t>思修成绩</t>
  </si>
  <si>
    <t>体育</t>
  </si>
  <si>
    <t>本学期成绩</t>
  </si>
  <si>
    <t>本学期排名</t>
  </si>
  <si>
    <t>上学期排名</t>
  </si>
  <si>
    <t>进步</t>
  </si>
  <si>
    <t>学业成绩基础分</t>
  </si>
  <si>
    <t>挂科数</t>
  </si>
  <si>
    <t>挂科扣分</t>
  </si>
  <si>
    <t>排名加分</t>
  </si>
  <si>
    <t>专业核心课加分</t>
  </si>
  <si>
    <t>进步加分</t>
  </si>
  <si>
    <t>学业表现分</t>
  </si>
  <si>
    <t>学业表现分排名</t>
  </si>
  <si>
    <t>第二部分  体育表现</t>
  </si>
  <si>
    <t>体育分数</t>
  </si>
  <si>
    <t>体育表现分</t>
  </si>
  <si>
    <t>第三部分 思想品德</t>
  </si>
  <si>
    <t>钉钉打卡</t>
  </si>
  <si>
    <t>青年大学习</t>
  </si>
  <si>
    <t>加分</t>
  </si>
  <si>
    <t>扣分</t>
  </si>
  <si>
    <t>思想品德分</t>
  </si>
  <si>
    <t>第四部分 素质技能</t>
  </si>
  <si>
    <t>第一小项读书笔记</t>
  </si>
  <si>
    <t>第二小项</t>
  </si>
  <si>
    <t>互联网＋</t>
  </si>
  <si>
    <t>计算机程序设计大赛</t>
  </si>
  <si>
    <t>挑战杯</t>
  </si>
  <si>
    <t>物联网设计比赛</t>
  </si>
  <si>
    <t>大学生英语竞赛</t>
  </si>
  <si>
    <t>学习日志（获奖）</t>
  </si>
  <si>
    <t>技能竞赛小计</t>
  </si>
  <si>
    <t>第三小项</t>
  </si>
  <si>
    <t xml:space="preserve">社会实践  </t>
  </si>
  <si>
    <t>其他市级志愿者</t>
  </si>
  <si>
    <t>十四运志愿者</t>
  </si>
  <si>
    <t>成马志愿者</t>
  </si>
  <si>
    <t>迎新志愿者</t>
  </si>
  <si>
    <t>高考口语考试志愿者</t>
  </si>
  <si>
    <t>社会实践小计</t>
  </si>
  <si>
    <t>超出</t>
  </si>
  <si>
    <t>第四小项</t>
  </si>
  <si>
    <t>舍长</t>
  </si>
  <si>
    <t>班委</t>
  </si>
  <si>
    <t>学生部门</t>
  </si>
  <si>
    <t>校青协</t>
  </si>
  <si>
    <t>百名团干讲党史</t>
  </si>
  <si>
    <t>建党100周年征文</t>
  </si>
  <si>
    <t>党史征文</t>
  </si>
  <si>
    <t>党史晨读接力</t>
  </si>
  <si>
    <t>图书馆朗诵活动</t>
  </si>
  <si>
    <t>国旗护卫队</t>
  </si>
  <si>
    <t>慧科环保知识竞赛</t>
  </si>
  <si>
    <t>资助征文</t>
  </si>
  <si>
    <t>学校微信环保知识大赛</t>
  </si>
  <si>
    <t>防灾减灾知识竞赛</t>
  </si>
  <si>
    <t>资助手抄版</t>
  </si>
  <si>
    <t>全国大学生英语竞赛</t>
  </si>
  <si>
    <t>运动会赛事获奖</t>
  </si>
  <si>
    <t>运动会方阵</t>
  </si>
  <si>
    <t>大学生讲思政课</t>
  </si>
  <si>
    <t>宿舍征文</t>
  </si>
  <si>
    <t>宿舍手抄报</t>
  </si>
  <si>
    <t>书画摄影展</t>
  </si>
  <si>
    <t>手语操及《国家》节目</t>
  </si>
  <si>
    <t>宿舍安全手抄报</t>
  </si>
  <si>
    <t>党史竞赛答题</t>
  </si>
  <si>
    <t>化学基本实验</t>
  </si>
  <si>
    <t>辩论赛</t>
  </si>
  <si>
    <t>建党100周年学校文艺演出</t>
  </si>
  <si>
    <t>学校舞蹈大赛</t>
  </si>
  <si>
    <t>党史朗诵</t>
  </si>
  <si>
    <t>建党演讲比赛</t>
  </si>
  <si>
    <t>英语云单词</t>
  </si>
  <si>
    <t>篮球赛</t>
  </si>
  <si>
    <t>学委值班</t>
  </si>
  <si>
    <t>思想工作站值班</t>
  </si>
  <si>
    <t>足球比赛</t>
  </si>
  <si>
    <t>心理健康阳光活动</t>
  </si>
  <si>
    <t>主持人大赛</t>
  </si>
  <si>
    <t>颁奖主持</t>
  </si>
  <si>
    <t>魅力文理讲解大赛</t>
  </si>
  <si>
    <t>觉醒年代</t>
  </si>
  <si>
    <t>党史接力跑</t>
  </si>
  <si>
    <t>悬崖之下观后感</t>
  </si>
  <si>
    <t>国旗主持</t>
  </si>
  <si>
    <t>奖励总分</t>
  </si>
  <si>
    <t>实际分数</t>
  </si>
  <si>
    <t>超出分数</t>
  </si>
  <si>
    <t>素质技能合计</t>
  </si>
  <si>
    <t xml:space="preserve">思想品德 </t>
  </si>
  <si>
    <t xml:space="preserve"> 学业表现  </t>
  </si>
  <si>
    <t xml:space="preserve">体育表现 </t>
  </si>
  <si>
    <t>素质技能</t>
  </si>
  <si>
    <t>学业成绩（70分）</t>
  </si>
  <si>
    <t>体育表现（2分）</t>
  </si>
  <si>
    <t>思想品德（10分）</t>
  </si>
  <si>
    <t>素质技能（20分）</t>
  </si>
  <si>
    <t>素质技能竞赛（12分）</t>
  </si>
  <si>
    <t>社会实践（3分）</t>
  </si>
  <si>
    <t>奖分项（4分）</t>
  </si>
  <si>
    <t>大一上</t>
  </si>
  <si>
    <t>考试成绩</t>
  </si>
  <si>
    <t>学业成绩</t>
  </si>
  <si>
    <t>合计</t>
  </si>
  <si>
    <t>数学分析</t>
  </si>
  <si>
    <t>高等代数</t>
  </si>
  <si>
    <t>近代史</t>
  </si>
  <si>
    <t>英语</t>
  </si>
  <si>
    <t>其他</t>
  </si>
  <si>
    <t>大信</t>
  </si>
  <si>
    <t>平均分</t>
  </si>
  <si>
    <t>奖励分</t>
  </si>
  <si>
    <t>扣分项</t>
  </si>
  <si>
    <t>职业证书/国护</t>
  </si>
  <si>
    <t>社会实践</t>
  </si>
  <si>
    <t>读书</t>
  </si>
  <si>
    <t>学生干事</t>
  </si>
  <si>
    <t>志宣</t>
  </si>
  <si>
    <t>其他志愿者</t>
  </si>
  <si>
    <t>院值班</t>
  </si>
  <si>
    <t>校级组织</t>
  </si>
  <si>
    <t>守护秦岭</t>
  </si>
  <si>
    <t>艾滋病知识竞赛</t>
  </si>
  <si>
    <t>节约粮食</t>
  </si>
  <si>
    <t>报告推送</t>
  </si>
  <si>
    <t>简历大赛</t>
  </si>
  <si>
    <t>读书朗诵</t>
  </si>
  <si>
    <t>安全月</t>
  </si>
  <si>
    <t>交通安全</t>
  </si>
  <si>
    <t>时光正文</t>
  </si>
  <si>
    <t>大学生艺术节</t>
  </si>
  <si>
    <t>抖音宿舍</t>
  </si>
  <si>
    <t>学院演出</t>
  </si>
  <si>
    <t>网络安全竞赛</t>
  </si>
  <si>
    <t>体操</t>
  </si>
  <si>
    <t>思政课</t>
  </si>
  <si>
    <t>团小信推送</t>
  </si>
  <si>
    <t>成马</t>
  </si>
  <si>
    <t>西马</t>
  </si>
  <si>
    <t>辩论队</t>
  </si>
  <si>
    <t>足球队</t>
  </si>
  <si>
    <t>可乐大赛</t>
  </si>
  <si>
    <t>越野</t>
  </si>
  <si>
    <t>早操</t>
  </si>
  <si>
    <t>总计</t>
  </si>
  <si>
    <t>生活部卫生奖励</t>
  </si>
  <si>
    <t>班级舍长</t>
  </si>
  <si>
    <t>奖分项</t>
  </si>
  <si>
    <t>上课全勤</t>
  </si>
  <si>
    <t>分数</t>
  </si>
  <si>
    <t>合格</t>
  </si>
  <si>
    <t xml:space="preserve">   </t>
  </si>
  <si>
    <t>刘思呈</t>
  </si>
  <si>
    <t>不及格</t>
  </si>
  <si>
    <t>陈睿芬</t>
  </si>
  <si>
    <t>个人信息</t>
  </si>
  <si>
    <t>智育成绩趋势</t>
  </si>
  <si>
    <t>综测成绩趋势</t>
  </si>
  <si>
    <t>大一下</t>
  </si>
  <si>
    <t>大二上</t>
  </si>
  <si>
    <t>趋势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</si>
</sst>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_ "/>
    <numFmt numFmtId="179" formatCode="0.00_ "/>
    <numFmt numFmtId="180" formatCode="0.0_ "/>
    <numFmt numFmtId="181" formatCode="0.000_ "/>
  </numFmts>
  <fonts count="25">
    <font>
      <sz val="12"/>
      <color theme="1"/>
      <name val="等线"/>
      <charset val="134"/>
      <scheme val="minor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4"/>
      <color rgb="FFE2EFD9"/>
      <name val="宋体"/>
      <charset val="134"/>
    </font>
    <font>
      <sz val="14"/>
      <color rgb="FFFFFFFF"/>
      <name val="宋体"/>
      <charset val="134"/>
    </font>
    <font>
      <sz val="14"/>
      <color rgb="FFFEF2CC"/>
      <name val="宋体"/>
      <charset val="134"/>
    </font>
    <font>
      <sz val="10"/>
      <color rgb="FF000000"/>
      <name val="宋体"/>
      <charset val="134"/>
    </font>
    <font>
      <sz val="10"/>
      <color rgb="FF92D050"/>
      <name val="宋体"/>
      <charset val="134"/>
    </font>
    <font>
      <sz val="9"/>
      <color rgb="FF000000"/>
      <name val="宋体"/>
      <charset val="134"/>
    </font>
    <font>
      <sz val="8"/>
      <color rgb="FF000000"/>
      <name val="宋体"/>
      <charset val="134"/>
    </font>
    <font>
      <b/>
      <sz val="10"/>
      <color rgb="FFFFFFFF"/>
      <name val="Arial"/>
      <family val="2"/>
    </font>
    <font>
      <b/>
      <sz val="10"/>
      <color rgb="FFFFFFFF"/>
      <name val="宋体"/>
      <charset val="134"/>
    </font>
    <font>
      <sz val="10"/>
      <color rgb="FF000000"/>
      <name val="Arial"/>
      <family val="2"/>
    </font>
    <font>
      <sz val="12"/>
      <color rgb="FF000000"/>
      <name val="宋体"/>
      <charset val="134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b/>
      <sz val="12"/>
      <color rgb="FFFFFFFF"/>
      <name val="宋体"/>
      <charset val="134"/>
    </font>
    <font>
      <sz val="24"/>
      <color rgb="FF000000"/>
      <name val="方正粗黑宋简体"/>
      <charset val="134"/>
    </font>
    <font>
      <sz val="10"/>
      <color rgb="FFFFFFFF"/>
      <name val="宋体"/>
      <family val="3"/>
      <charset val="134"/>
    </font>
    <font>
      <sz val="20"/>
      <color rgb="FF000000"/>
      <name val="方正粗黑宋简体"/>
      <charset val="134"/>
    </font>
    <font>
      <sz val="11"/>
      <color theme="1"/>
      <name val="宋体"/>
      <family val="3"/>
      <charset val="134"/>
    </font>
    <font>
      <sz val="11"/>
      <color rgb="FFFE03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E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4B183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0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>
      <alignment vertical="center"/>
    </xf>
    <xf numFmtId="0" fontId="6" fillId="6" borderId="1" xfId="0" applyFont="1" applyFill="1" applyBorder="1" applyAlignment="1">
      <alignment horizontal="center" vertical="center"/>
    </xf>
    <xf numFmtId="0" fontId="1" fillId="5" borderId="0" xfId="0" applyFont="1" applyFill="1">
      <alignment vertical="center"/>
    </xf>
    <xf numFmtId="0" fontId="1" fillId="6" borderId="1" xfId="0" applyFont="1" applyFill="1" applyBorder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178" fontId="7" fillId="9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178" fontId="7" fillId="10" borderId="1" xfId="0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7" fillId="12" borderId="1" xfId="0" applyFont="1" applyFill="1" applyBorder="1">
      <alignment vertical="center"/>
    </xf>
    <xf numFmtId="0" fontId="7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49" fontId="7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179" fontId="2" fillId="16" borderId="1" xfId="0" applyNumberFormat="1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179" fontId="2" fillId="16" borderId="5" xfId="0" applyNumberFormat="1" applyFont="1" applyFill="1" applyBorder="1" applyAlignment="1">
      <alignment horizontal="center" vertical="center"/>
    </xf>
    <xf numFmtId="179" fontId="2" fillId="16" borderId="7" xfId="0" applyNumberFormat="1" applyFont="1" applyFill="1" applyBorder="1" applyAlignment="1">
      <alignment horizontal="center" vertical="center"/>
    </xf>
    <xf numFmtId="179" fontId="2" fillId="16" borderId="6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80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12" fillId="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179" fontId="2" fillId="19" borderId="1" xfId="0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 wrapText="1"/>
    </xf>
    <xf numFmtId="0" fontId="12" fillId="14" borderId="11" xfId="0" applyFont="1" applyFill="1" applyBorder="1" applyAlignment="1">
      <alignment horizontal="center" vertical="center" wrapText="1"/>
    </xf>
    <xf numFmtId="0" fontId="12" fillId="14" borderId="12" xfId="0" applyFont="1" applyFill="1" applyBorder="1" applyAlignment="1">
      <alignment horizontal="center" vertical="center" wrapText="1"/>
    </xf>
    <xf numFmtId="179" fontId="2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1" fillId="11" borderId="15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12" fillId="14" borderId="19" xfId="0" applyFont="1" applyFill="1" applyBorder="1" applyAlignment="1">
      <alignment horizontal="center" vertical="center" wrapText="1"/>
    </xf>
    <xf numFmtId="0" fontId="2" fillId="11" borderId="20" xfId="0" applyFont="1" applyFill="1" applyBorder="1" applyAlignment="1">
      <alignment horizontal="center" vertical="center"/>
    </xf>
    <xf numFmtId="0" fontId="22" fillId="11" borderId="20" xfId="0" applyFont="1" applyFill="1" applyBorder="1" applyAlignment="1">
      <alignment horizontal="center" vertical="center"/>
    </xf>
    <xf numFmtId="0" fontId="2" fillId="11" borderId="21" xfId="0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23" xfId="0" applyFont="1" applyFill="1" applyBorder="1" applyAlignment="1">
      <alignment horizontal="center" vertical="center"/>
    </xf>
    <xf numFmtId="0" fontId="17" fillId="8" borderId="2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2" fillId="8" borderId="28" xfId="0" applyFont="1" applyFill="1" applyBorder="1" applyAlignment="1">
      <alignment horizontal="center" vertical="center" wrapText="1"/>
    </xf>
    <xf numFmtId="0" fontId="21" fillId="21" borderId="6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" vertical="center"/>
    </xf>
    <xf numFmtId="0" fontId="13" fillId="9" borderId="30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22" borderId="34" xfId="0" applyFont="1" applyFill="1" applyBorder="1" applyAlignment="1">
      <alignment horizontal="center" vertical="center"/>
    </xf>
    <xf numFmtId="0" fontId="2" fillId="22" borderId="30" xfId="0" applyFont="1" applyFill="1" applyBorder="1" applyAlignment="1">
      <alignment horizontal="center" vertical="center"/>
    </xf>
    <xf numFmtId="0" fontId="2" fillId="9" borderId="35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horizontal="center" vertical="center"/>
    </xf>
    <xf numFmtId="0" fontId="2" fillId="22" borderId="4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49" fontId="7" fillId="9" borderId="36" xfId="0" applyNumberFormat="1" applyFont="1" applyFill="1" applyBorder="1" applyAlignment="1">
      <alignment horizontal="center" vertical="center" wrapText="1"/>
    </xf>
    <xf numFmtId="0" fontId="14" fillId="9" borderId="36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13" fillId="9" borderId="39" xfId="0" applyFont="1" applyFill="1" applyBorder="1" applyAlignment="1">
      <alignment horizontal="center" vertical="center"/>
    </xf>
    <xf numFmtId="0" fontId="14" fillId="9" borderId="40" xfId="0" applyFont="1" applyFill="1" applyBorder="1" applyAlignment="1">
      <alignment horizontal="center" vertical="center"/>
    </xf>
    <xf numFmtId="0" fontId="2" fillId="22" borderId="41" xfId="0" applyFont="1" applyFill="1" applyBorder="1" applyAlignment="1">
      <alignment horizontal="center" vertical="center"/>
    </xf>
    <xf numFmtId="0" fontId="2" fillId="22" borderId="39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10" borderId="30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39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14" borderId="38" xfId="0" applyFont="1" applyFill="1" applyBorder="1" applyAlignment="1">
      <alignment horizontal="center" vertical="center"/>
    </xf>
    <xf numFmtId="178" fontId="2" fillId="14" borderId="39" xfId="0" applyNumberFormat="1" applyFont="1" applyFill="1" applyBorder="1" applyAlignment="1">
      <alignment horizontal="center" vertical="center"/>
    </xf>
    <xf numFmtId="179" fontId="2" fillId="12" borderId="30" xfId="0" applyNumberFormat="1" applyFont="1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/>
    </xf>
    <xf numFmtId="179" fontId="2" fillId="23" borderId="30" xfId="0" applyNumberFormat="1" applyFont="1" applyFill="1" applyBorder="1" applyAlignment="1">
      <alignment horizontal="center" vertical="center"/>
    </xf>
    <xf numFmtId="178" fontId="2" fillId="23" borderId="30" xfId="0" applyNumberFormat="1" applyFont="1" applyFill="1" applyBorder="1" applyAlignment="1">
      <alignment horizontal="center" vertical="center"/>
    </xf>
    <xf numFmtId="179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79" fontId="2" fillId="23" borderId="1" xfId="0" applyNumberFormat="1" applyFont="1" applyFill="1" applyBorder="1" applyAlignment="1">
      <alignment horizontal="center" vertical="center"/>
    </xf>
    <xf numFmtId="178" fontId="2" fillId="23" borderId="1" xfId="0" applyNumberFormat="1" applyFont="1" applyFill="1" applyBorder="1" applyAlignment="1">
      <alignment horizontal="center" vertical="center"/>
    </xf>
    <xf numFmtId="179" fontId="2" fillId="12" borderId="39" xfId="0" applyNumberFormat="1" applyFont="1" applyFill="1" applyBorder="1" applyAlignment="1">
      <alignment horizontal="center" vertical="center"/>
    </xf>
    <xf numFmtId="0" fontId="2" fillId="12" borderId="39" xfId="0" applyFont="1" applyFill="1" applyBorder="1" applyAlignment="1">
      <alignment horizontal="center" vertical="center"/>
    </xf>
    <xf numFmtId="179" fontId="2" fillId="23" borderId="39" xfId="0" applyNumberFormat="1" applyFont="1" applyFill="1" applyBorder="1" applyAlignment="1">
      <alignment horizontal="center" vertical="center"/>
    </xf>
    <xf numFmtId="178" fontId="2" fillId="23" borderId="39" xfId="0" applyNumberFormat="1" applyFont="1" applyFill="1" applyBorder="1" applyAlignment="1">
      <alignment horizontal="center" vertical="center"/>
    </xf>
    <xf numFmtId="0" fontId="2" fillId="14" borderId="39" xfId="0" applyFont="1" applyFill="1" applyBorder="1" applyAlignment="1">
      <alignment horizontal="center" vertical="center"/>
    </xf>
    <xf numFmtId="178" fontId="2" fillId="14" borderId="40" xfId="0" applyNumberFormat="1" applyFont="1" applyFill="1" applyBorder="1" applyAlignment="1">
      <alignment horizontal="center" vertical="center"/>
    </xf>
    <xf numFmtId="178" fontId="2" fillId="23" borderId="33" xfId="0" applyNumberFormat="1" applyFont="1" applyFill="1" applyBorder="1" applyAlignment="1">
      <alignment horizontal="center" vertical="center"/>
    </xf>
    <xf numFmtId="178" fontId="2" fillId="23" borderId="36" xfId="0" applyNumberFormat="1" applyFont="1" applyFill="1" applyBorder="1" applyAlignment="1">
      <alignment horizontal="center" vertical="center"/>
    </xf>
    <xf numFmtId="178" fontId="2" fillId="23" borderId="40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8" borderId="29" xfId="0" applyFont="1" applyFill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14" borderId="29" xfId="0" applyFont="1" applyFill="1" applyBorder="1" applyAlignment="1">
      <alignment horizontal="center" vertical="center"/>
    </xf>
    <xf numFmtId="178" fontId="2" fillId="14" borderId="30" xfId="0" applyNumberFormat="1" applyFont="1" applyFill="1" applyBorder="1" applyAlignment="1">
      <alignment horizontal="center" vertical="center"/>
    </xf>
    <xf numFmtId="0" fontId="2" fillId="14" borderId="30" xfId="0" applyFont="1" applyFill="1" applyBorder="1" applyAlignment="1">
      <alignment horizontal="center" vertical="center"/>
    </xf>
    <xf numFmtId="178" fontId="2" fillId="14" borderId="33" xfId="0" applyNumberFormat="1" applyFont="1" applyFill="1" applyBorder="1" applyAlignment="1">
      <alignment horizontal="center" vertical="center"/>
    </xf>
    <xf numFmtId="0" fontId="2" fillId="22" borderId="37" xfId="0" applyFont="1" applyFill="1" applyBorder="1" applyAlignment="1">
      <alignment horizontal="center" vertical="center"/>
    </xf>
    <xf numFmtId="0" fontId="2" fillId="22" borderId="42" xfId="0" applyFont="1" applyFill="1" applyBorder="1" applyAlignment="1">
      <alignment horizontal="center" vertical="center"/>
    </xf>
    <xf numFmtId="0" fontId="2" fillId="22" borderId="24" xfId="0" applyFont="1" applyFill="1" applyBorder="1" applyAlignment="1">
      <alignment horizontal="center" vertical="center"/>
    </xf>
    <xf numFmtId="0" fontId="2" fillId="22" borderId="28" xfId="0" applyFont="1" applyFill="1" applyBorder="1" applyAlignment="1">
      <alignment horizontal="center" vertical="center"/>
    </xf>
    <xf numFmtId="0" fontId="2" fillId="12" borderId="23" xfId="0" applyFont="1" applyFill="1" applyBorder="1" applyAlignment="1">
      <alignment horizontal="center" vertical="center"/>
    </xf>
    <xf numFmtId="0" fontId="2" fillId="12" borderId="37" xfId="0" applyFont="1" applyFill="1" applyBorder="1" applyAlignment="1">
      <alignment horizontal="center" vertical="center"/>
    </xf>
    <xf numFmtId="0" fontId="2" fillId="12" borderId="42" xfId="0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2" fillId="12" borderId="24" xfId="0" applyFont="1" applyFill="1" applyBorder="1" applyAlignment="1">
      <alignment horizontal="center" vertical="center"/>
    </xf>
    <xf numFmtId="0" fontId="2" fillId="12" borderId="28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20" borderId="0" xfId="0" applyFont="1" applyFill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/>
    </xf>
    <xf numFmtId="0" fontId="17" fillId="15" borderId="3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 textRotation="255"/>
    </xf>
    <xf numFmtId="0" fontId="18" fillId="4" borderId="9" xfId="0" applyFont="1" applyFill="1" applyBorder="1" applyAlignment="1">
      <alignment horizontal="center" vertical="center" textRotation="255"/>
    </xf>
    <xf numFmtId="0" fontId="20" fillId="20" borderId="8" xfId="0" applyFont="1" applyFill="1" applyBorder="1" applyAlignment="1">
      <alignment horizontal="center" vertical="center" textRotation="255"/>
    </xf>
    <xf numFmtId="0" fontId="20" fillId="20" borderId="9" xfId="0" applyFont="1" applyFill="1" applyBorder="1" applyAlignment="1">
      <alignment horizontal="center" vertical="center" textRotation="255"/>
    </xf>
    <xf numFmtId="0" fontId="18" fillId="8" borderId="25" xfId="0" applyFont="1" applyFill="1" applyBorder="1" applyAlignment="1">
      <alignment horizontal="center" vertical="center" textRotation="255"/>
    </xf>
    <xf numFmtId="0" fontId="18" fillId="8" borderId="26" xfId="0" applyFont="1" applyFill="1" applyBorder="1" applyAlignment="1">
      <alignment horizontal="center" vertical="center" textRotation="255"/>
    </xf>
    <xf numFmtId="0" fontId="18" fillId="8" borderId="27" xfId="0" applyFont="1" applyFill="1" applyBorder="1" applyAlignment="1">
      <alignment horizontal="center" vertical="center" textRotation="255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ar/mobile/Containers/Data/Application/E1662EFA-87EF-4D2E-989D-77C05878538F/Documents/&#25968;&#25454;&#31185;&#23398;&#19982;&#22823;&#25968;&#25454;&#25216;&#26415;2001&#29677;&#22823;&#19977;&#19979;&#32508;&#21512;&#32771;&#35780;&#32454;&#34920;&#65288;&#21253;&#21547;&#26234;&#32946;&#25104;&#32489;&#65289;&#21021;&#31295;(1)+&#36965;&#24863;(2).xlsx/&#25152;&#26377;&#25991;&#20214;/&#23398;&#26657;&#30456;&#20851;&#25991;&#20214;/&#22823;&#25968;&#25454;2001/&#29677;&#32423;&#25104;&#32489;+&#32508;&#21512;&#32771;&#35780;/&#22823;&#19968;&#19978;/&#22823;&#25968;&#25454;2001&#29677;&#32508;&#21512;&#32771;&#35780;&#32454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期末成绩"/>
      <sheetName val="Sheet4"/>
      <sheetName val="Sheet1"/>
    </sheetNames>
    <sheetDataSet>
      <sheetData sheetId="0"/>
      <sheetData sheetId="1"/>
      <sheetData sheetId="2">
        <row r="2">
          <cell r="A2" t="str">
            <v>李雨珊</v>
          </cell>
          <cell r="B2">
            <v>2513200101</v>
          </cell>
        </row>
        <row r="3">
          <cell r="A3" t="str">
            <v>刘思呈</v>
          </cell>
          <cell r="B3">
            <v>2513200102</v>
          </cell>
        </row>
        <row r="4">
          <cell r="A4" t="str">
            <v>徐佳豪</v>
          </cell>
          <cell r="B4">
            <v>2513200103</v>
          </cell>
        </row>
        <row r="5">
          <cell r="A5" t="str">
            <v>刘颖泽</v>
          </cell>
          <cell r="B5">
            <v>2513200104</v>
          </cell>
        </row>
        <row r="6">
          <cell r="A6" t="str">
            <v>李斯婕</v>
          </cell>
          <cell r="B6">
            <v>2513200105</v>
          </cell>
        </row>
        <row r="7">
          <cell r="A7" t="str">
            <v>马晴</v>
          </cell>
          <cell r="B7">
            <v>2513200106</v>
          </cell>
        </row>
        <row r="8">
          <cell r="A8" t="str">
            <v>袁智鹏</v>
          </cell>
          <cell r="B8">
            <v>2513200107</v>
          </cell>
        </row>
        <row r="9">
          <cell r="A9" t="str">
            <v>徐瑞阳</v>
          </cell>
          <cell r="B9">
            <v>2513200108</v>
          </cell>
        </row>
        <row r="10">
          <cell r="A10" t="str">
            <v>安旗</v>
          </cell>
          <cell r="B10">
            <v>2513200109</v>
          </cell>
        </row>
        <row r="11">
          <cell r="A11" t="str">
            <v>陈蕊芬</v>
          </cell>
          <cell r="B11">
            <v>2513200110</v>
          </cell>
        </row>
        <row r="12">
          <cell r="A12" t="str">
            <v>何嘉星</v>
          </cell>
          <cell r="B12">
            <v>2513200111</v>
          </cell>
        </row>
        <row r="13">
          <cell r="A13" t="str">
            <v>李瑾玥</v>
          </cell>
          <cell r="B13">
            <v>2513200112</v>
          </cell>
        </row>
        <row r="14">
          <cell r="A14" t="str">
            <v>樊尚青</v>
          </cell>
          <cell r="B14">
            <v>2513200113</v>
          </cell>
        </row>
        <row r="15">
          <cell r="A15" t="str">
            <v>辛洋坤</v>
          </cell>
          <cell r="B15">
            <v>2513200114</v>
          </cell>
        </row>
        <row r="16">
          <cell r="A16" t="str">
            <v>王曦</v>
          </cell>
          <cell r="B16">
            <v>2513200115</v>
          </cell>
        </row>
        <row r="17">
          <cell r="A17" t="str">
            <v>夏增辉</v>
          </cell>
          <cell r="B17">
            <v>2513200116</v>
          </cell>
        </row>
        <row r="18">
          <cell r="A18" t="str">
            <v>张兴</v>
          </cell>
          <cell r="B18">
            <v>2513200117</v>
          </cell>
        </row>
        <row r="19">
          <cell r="A19" t="str">
            <v>曹书铨</v>
          </cell>
          <cell r="B19">
            <v>2513200118</v>
          </cell>
        </row>
        <row r="20">
          <cell r="A20" t="str">
            <v>任秀宁</v>
          </cell>
          <cell r="B20">
            <v>2513200119</v>
          </cell>
        </row>
        <row r="21">
          <cell r="A21" t="str">
            <v>仇磊</v>
          </cell>
          <cell r="B21">
            <v>2513200120</v>
          </cell>
        </row>
        <row r="22">
          <cell r="A22" t="str">
            <v>赵懿倩</v>
          </cell>
          <cell r="B22">
            <v>2513200121</v>
          </cell>
        </row>
        <row r="23">
          <cell r="A23" t="str">
            <v>陈佳璐</v>
          </cell>
          <cell r="B23">
            <v>2513200122</v>
          </cell>
        </row>
        <row r="24">
          <cell r="A24" t="str">
            <v>龚孙程</v>
          </cell>
          <cell r="B24">
            <v>2513200123</v>
          </cell>
        </row>
        <row r="25">
          <cell r="A25" t="str">
            <v>王佳萌</v>
          </cell>
          <cell r="B25">
            <v>2513200124</v>
          </cell>
        </row>
        <row r="26">
          <cell r="A26" t="str">
            <v>周梦尧</v>
          </cell>
          <cell r="B26">
            <v>2513200125</v>
          </cell>
        </row>
        <row r="27">
          <cell r="A27" t="str">
            <v>刘睿元</v>
          </cell>
          <cell r="B27">
            <v>2513200126</v>
          </cell>
        </row>
        <row r="28">
          <cell r="A28" t="str">
            <v>甘璐鹭</v>
          </cell>
          <cell r="B28">
            <v>2513200127</v>
          </cell>
        </row>
        <row r="29">
          <cell r="A29" t="str">
            <v>马静</v>
          </cell>
          <cell r="B29">
            <v>2513200128</v>
          </cell>
        </row>
        <row r="30">
          <cell r="A30" t="str">
            <v>田紫薇</v>
          </cell>
          <cell r="B30">
            <v>2513200129</v>
          </cell>
        </row>
        <row r="31">
          <cell r="A31" t="str">
            <v>陶江笑</v>
          </cell>
          <cell r="B31">
            <v>2513200130</v>
          </cell>
        </row>
        <row r="32">
          <cell r="A32" t="str">
            <v>杨锦</v>
          </cell>
          <cell r="B32">
            <v>2513200131</v>
          </cell>
        </row>
        <row r="33">
          <cell r="A33" t="str">
            <v>马聪</v>
          </cell>
          <cell r="B33">
            <v>2513200132</v>
          </cell>
        </row>
        <row r="34">
          <cell r="A34" t="str">
            <v>刘艳芳</v>
          </cell>
          <cell r="B34">
            <v>2513200133</v>
          </cell>
        </row>
        <row r="35">
          <cell r="A35" t="str">
            <v>刘梓石</v>
          </cell>
          <cell r="B35">
            <v>2513200134</v>
          </cell>
        </row>
        <row r="36">
          <cell r="A36" t="str">
            <v>雷宇彤</v>
          </cell>
          <cell r="B36">
            <v>2513200135</v>
          </cell>
        </row>
        <row r="37">
          <cell r="A37" t="str">
            <v>秦子茜</v>
          </cell>
          <cell r="B37">
            <v>2513200136</v>
          </cell>
        </row>
        <row r="38">
          <cell r="A38" t="str">
            <v>冯国强</v>
          </cell>
          <cell r="B38">
            <v>2513200137</v>
          </cell>
        </row>
        <row r="39">
          <cell r="A39" t="str">
            <v>李杨</v>
          </cell>
          <cell r="B39">
            <v>2513200138</v>
          </cell>
        </row>
        <row r="40">
          <cell r="A40" t="str">
            <v>蒋少杰</v>
          </cell>
          <cell r="B40">
            <v>2513200139</v>
          </cell>
        </row>
        <row r="41">
          <cell r="A41" t="str">
            <v>李文涛</v>
          </cell>
          <cell r="B41">
            <v>2513200140</v>
          </cell>
        </row>
        <row r="42">
          <cell r="A42" t="str">
            <v>陈坤</v>
          </cell>
          <cell r="B42">
            <v>2513200141</v>
          </cell>
        </row>
        <row r="43">
          <cell r="A43" t="str">
            <v>马苗苗</v>
          </cell>
          <cell r="B43">
            <v>2513200142</v>
          </cell>
        </row>
        <row r="44">
          <cell r="A44" t="str">
            <v>王子熠</v>
          </cell>
          <cell r="B44">
            <v>2513200143</v>
          </cell>
        </row>
        <row r="45">
          <cell r="A45" t="str">
            <v>巩严涛</v>
          </cell>
          <cell r="B45">
            <v>2513200144</v>
          </cell>
        </row>
        <row r="46">
          <cell r="A46" t="str">
            <v>余莉丽</v>
          </cell>
          <cell r="B46">
            <v>2513200145</v>
          </cell>
        </row>
        <row r="47">
          <cell r="A47" t="str">
            <v>聂光军</v>
          </cell>
          <cell r="B47">
            <v>2811190230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50"/>
  <sheetViews>
    <sheetView workbookViewId="0">
      <pane xSplit="4" topLeftCell="E1" activePane="topRight" state="frozen"/>
      <selection pane="topRight" sqref="A1:AB1"/>
    </sheetView>
  </sheetViews>
  <sheetFormatPr defaultColWidth="8.15234375" defaultRowHeight="14.5" customHeight="1"/>
  <cols>
    <col min="4" max="4" width="13.15234375" style="2"/>
    <col min="11" max="11" width="12.84375" style="2"/>
    <col min="13" max="13" width="12.84375" style="2"/>
    <col min="15" max="15" width="12.84375" style="2"/>
  </cols>
  <sheetData>
    <row r="1" spans="1:28" ht="26.65" customHeight="1">
      <c r="A1" s="157" t="s">
        <v>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28" ht="15.25" customHeight="1">
      <c r="A2" s="158" t="s">
        <v>1</v>
      </c>
      <c r="B2" s="159"/>
      <c r="C2" s="160"/>
      <c r="D2" s="160"/>
      <c r="E2" s="161" t="s">
        <v>2</v>
      </c>
      <c r="F2" s="162"/>
      <c r="G2" s="162"/>
      <c r="H2" s="162"/>
      <c r="I2" s="162"/>
      <c r="J2" s="163"/>
      <c r="K2" s="164" t="s">
        <v>3</v>
      </c>
      <c r="L2" s="165"/>
      <c r="M2" s="165"/>
      <c r="N2" s="165"/>
      <c r="O2" s="165"/>
      <c r="P2" s="166"/>
      <c r="Q2" s="167" t="s">
        <v>4</v>
      </c>
      <c r="R2" s="168"/>
      <c r="S2" s="168"/>
      <c r="T2" s="168"/>
      <c r="U2" s="168"/>
      <c r="V2" s="169"/>
      <c r="W2" s="170" t="s">
        <v>5</v>
      </c>
      <c r="X2" s="171"/>
      <c r="Y2" s="171"/>
      <c r="Z2" s="172"/>
      <c r="AA2" s="171"/>
      <c r="AB2" s="173"/>
    </row>
    <row r="3" spans="1:28" ht="15.25" customHeight="1">
      <c r="A3" s="106" t="s">
        <v>6</v>
      </c>
      <c r="B3" s="107" t="s">
        <v>7</v>
      </c>
      <c r="C3" s="108" t="s">
        <v>8</v>
      </c>
      <c r="D3" s="108" t="s">
        <v>9</v>
      </c>
      <c r="E3" s="109" t="s">
        <v>10</v>
      </c>
      <c r="F3" s="110" t="s">
        <v>11</v>
      </c>
      <c r="G3" s="110" t="s">
        <v>12</v>
      </c>
      <c r="H3" s="110" t="s">
        <v>13</v>
      </c>
      <c r="I3" s="110" t="s">
        <v>14</v>
      </c>
      <c r="J3" s="128" t="s">
        <v>12</v>
      </c>
      <c r="K3" s="129" t="s">
        <v>10</v>
      </c>
      <c r="L3" s="130" t="s">
        <v>14</v>
      </c>
      <c r="M3" s="130" t="s">
        <v>12</v>
      </c>
      <c r="N3" s="130" t="s">
        <v>13</v>
      </c>
      <c r="O3" s="130" t="s">
        <v>14</v>
      </c>
      <c r="P3" s="131" t="s">
        <v>12</v>
      </c>
      <c r="Q3" s="135" t="s">
        <v>15</v>
      </c>
      <c r="R3" s="136" t="s">
        <v>16</v>
      </c>
      <c r="S3" s="136" t="s">
        <v>12</v>
      </c>
      <c r="T3" s="136" t="s">
        <v>17</v>
      </c>
      <c r="U3" s="136" t="s">
        <v>18</v>
      </c>
      <c r="V3" s="137" t="s">
        <v>12</v>
      </c>
      <c r="W3" s="138" t="s">
        <v>15</v>
      </c>
      <c r="X3" s="139" t="s">
        <v>16</v>
      </c>
      <c r="Y3" s="139" t="s">
        <v>12</v>
      </c>
      <c r="Z3" s="152" t="s">
        <v>17</v>
      </c>
      <c r="AA3" s="139" t="s">
        <v>18</v>
      </c>
      <c r="AB3" s="153" t="s">
        <v>12</v>
      </c>
    </row>
    <row r="4" spans="1:28" ht="15.25" customHeight="1">
      <c r="A4" s="111">
        <v>1</v>
      </c>
      <c r="B4" s="112" t="s">
        <v>19</v>
      </c>
      <c r="C4" s="112" t="s">
        <v>20</v>
      </c>
      <c r="D4" s="113">
        <v>2513200101</v>
      </c>
      <c r="E4" s="114">
        <v>81.75</v>
      </c>
      <c r="F4" s="115">
        <v>12</v>
      </c>
      <c r="G4" s="115">
        <f t="shared" ref="G4:G46" si="0">RANK(E4,E:E,0)</f>
        <v>12</v>
      </c>
      <c r="H4" s="115">
        <v>77.525000000000006</v>
      </c>
      <c r="I4" s="115">
        <v>5</v>
      </c>
      <c r="J4" s="115">
        <f t="shared" ref="J4:J46" si="1">RANK(H4,H:H,0)</f>
        <v>5</v>
      </c>
      <c r="K4" s="132">
        <v>78.428571428571402</v>
      </c>
      <c r="L4" s="132">
        <v>21</v>
      </c>
      <c r="M4" s="132">
        <f t="shared" ref="M4:M49" si="2">RANK(K4,K:K,0)</f>
        <v>21</v>
      </c>
      <c r="N4" s="132">
        <v>74</v>
      </c>
      <c r="O4" s="132">
        <v>11</v>
      </c>
      <c r="P4" s="132">
        <f t="shared" ref="P4:P49" si="3">RANK(N4,N:N,0)</f>
        <v>11</v>
      </c>
      <c r="Q4" s="140">
        <f t="shared" ref="Q4:Q46" si="4">E4+K4</f>
        <v>160.17857142857099</v>
      </c>
      <c r="R4" s="141">
        <v>17</v>
      </c>
      <c r="S4" s="141">
        <f t="shared" ref="S4:S46" si="5">RANK(Q4,Q:Q,0)</f>
        <v>17</v>
      </c>
      <c r="T4" s="140">
        <f t="shared" ref="T4:T46" si="6">H4+N4</f>
        <v>151.52500000000001</v>
      </c>
      <c r="U4" s="141">
        <v>10</v>
      </c>
      <c r="V4" s="141">
        <f t="shared" ref="V4:V46" si="7">RANK(T4,T:T,0)</f>
        <v>10</v>
      </c>
      <c r="W4" s="142">
        <v>82.733333333333306</v>
      </c>
      <c r="X4" s="143">
        <v>21</v>
      </c>
      <c r="Y4" s="143">
        <f t="shared" ref="Y4:Y49" si="8">RANK(W4,W:W,0)</f>
        <v>21</v>
      </c>
      <c r="Z4" s="142">
        <v>74.313333333333304</v>
      </c>
      <c r="AA4" s="143">
        <v>17</v>
      </c>
      <c r="AB4" s="154">
        <f t="shared" ref="AB4:AB49" si="9">RANK(Z4,Z:Z,0)</f>
        <v>17</v>
      </c>
    </row>
    <row r="5" spans="1:28" ht="14.5" customHeight="1">
      <c r="A5" s="116">
        <v>2</v>
      </c>
      <c r="B5" s="117" t="s">
        <v>21</v>
      </c>
      <c r="C5" s="117" t="s">
        <v>20</v>
      </c>
      <c r="D5" s="118">
        <v>2513200103</v>
      </c>
      <c r="E5" s="119">
        <v>75.75</v>
      </c>
      <c r="F5" s="120">
        <v>33</v>
      </c>
      <c r="G5" s="120">
        <f t="shared" si="0"/>
        <v>33</v>
      </c>
      <c r="H5" s="120">
        <v>65.174999999999997</v>
      </c>
      <c r="I5" s="120">
        <v>35</v>
      </c>
      <c r="J5" s="120">
        <f t="shared" si="1"/>
        <v>35</v>
      </c>
      <c r="K5" s="133">
        <v>71.571428571428598</v>
      </c>
      <c r="L5" s="133">
        <v>38</v>
      </c>
      <c r="M5" s="133">
        <f t="shared" si="2"/>
        <v>38</v>
      </c>
      <c r="N5" s="133">
        <v>66.325000000000003</v>
      </c>
      <c r="O5" s="133">
        <v>34</v>
      </c>
      <c r="P5" s="133">
        <f t="shared" si="3"/>
        <v>34</v>
      </c>
      <c r="Q5" s="144">
        <f t="shared" si="4"/>
        <v>147.32142857142901</v>
      </c>
      <c r="R5" s="145">
        <v>36</v>
      </c>
      <c r="S5" s="145">
        <f t="shared" si="5"/>
        <v>36</v>
      </c>
      <c r="T5" s="144">
        <f t="shared" si="6"/>
        <v>131.5</v>
      </c>
      <c r="U5" s="145">
        <v>33</v>
      </c>
      <c r="V5" s="145">
        <f t="shared" si="7"/>
        <v>33</v>
      </c>
      <c r="W5" s="146">
        <v>77.066666666666706</v>
      </c>
      <c r="X5" s="147">
        <v>39</v>
      </c>
      <c r="Y5" s="147">
        <f t="shared" si="8"/>
        <v>39</v>
      </c>
      <c r="Z5" s="146">
        <v>65.846666666666707</v>
      </c>
      <c r="AA5" s="147">
        <v>41</v>
      </c>
      <c r="AB5" s="155">
        <f t="shared" si="9"/>
        <v>41</v>
      </c>
    </row>
    <row r="6" spans="1:28" ht="14.5" customHeight="1">
      <c r="A6" s="116">
        <v>3</v>
      </c>
      <c r="B6" s="117" t="s">
        <v>22</v>
      </c>
      <c r="C6" s="117" t="s">
        <v>20</v>
      </c>
      <c r="D6" s="118">
        <v>2513200104</v>
      </c>
      <c r="E6" s="119">
        <v>68.5</v>
      </c>
      <c r="F6" s="120">
        <v>40</v>
      </c>
      <c r="G6" s="120">
        <f t="shared" si="0"/>
        <v>40</v>
      </c>
      <c r="H6" s="120">
        <v>60.25</v>
      </c>
      <c r="I6" s="120">
        <v>41</v>
      </c>
      <c r="J6" s="120">
        <f t="shared" si="1"/>
        <v>40</v>
      </c>
      <c r="K6" s="133">
        <v>70.642857142857096</v>
      </c>
      <c r="L6" s="133">
        <v>43</v>
      </c>
      <c r="M6" s="133">
        <f t="shared" si="2"/>
        <v>43</v>
      </c>
      <c r="N6" s="133">
        <v>58.55</v>
      </c>
      <c r="O6" s="133">
        <v>46</v>
      </c>
      <c r="P6" s="133">
        <f t="shared" si="3"/>
        <v>46</v>
      </c>
      <c r="Q6" s="144">
        <f t="shared" si="4"/>
        <v>139.142857142857</v>
      </c>
      <c r="R6" s="145">
        <v>41</v>
      </c>
      <c r="S6" s="145">
        <f t="shared" si="5"/>
        <v>41</v>
      </c>
      <c r="T6" s="144">
        <f t="shared" si="6"/>
        <v>118.8</v>
      </c>
      <c r="U6" s="145">
        <v>44</v>
      </c>
      <c r="V6" s="145">
        <f t="shared" si="7"/>
        <v>44</v>
      </c>
      <c r="W6" s="146">
        <v>77.255555555555503</v>
      </c>
      <c r="X6" s="147">
        <v>38</v>
      </c>
      <c r="Y6" s="147">
        <f t="shared" si="8"/>
        <v>38</v>
      </c>
      <c r="Z6" s="146">
        <v>65.028888888888901</v>
      </c>
      <c r="AA6" s="147">
        <v>43</v>
      </c>
      <c r="AB6" s="155">
        <f t="shared" si="9"/>
        <v>43</v>
      </c>
    </row>
    <row r="7" spans="1:28" ht="14.5" customHeight="1">
      <c r="A7" s="116">
        <v>4</v>
      </c>
      <c r="B7" s="117" t="s">
        <v>23</v>
      </c>
      <c r="C7" s="117" t="s">
        <v>20</v>
      </c>
      <c r="D7" s="118">
        <v>2513200105</v>
      </c>
      <c r="E7" s="119">
        <v>81</v>
      </c>
      <c r="F7" s="120">
        <v>15</v>
      </c>
      <c r="G7" s="120">
        <f t="shared" si="0"/>
        <v>15</v>
      </c>
      <c r="H7" s="120">
        <v>68.900000000000006</v>
      </c>
      <c r="I7" s="120">
        <v>22</v>
      </c>
      <c r="J7" s="120">
        <f t="shared" si="1"/>
        <v>22</v>
      </c>
      <c r="K7" s="133">
        <v>79.857142857142904</v>
      </c>
      <c r="L7" s="133">
        <v>16</v>
      </c>
      <c r="M7" s="133">
        <f t="shared" si="2"/>
        <v>16</v>
      </c>
      <c r="N7" s="133">
        <v>71.575000000000003</v>
      </c>
      <c r="O7" s="133">
        <v>18</v>
      </c>
      <c r="P7" s="133">
        <f t="shared" si="3"/>
        <v>18</v>
      </c>
      <c r="Q7" s="144">
        <f t="shared" si="4"/>
        <v>160.857142857143</v>
      </c>
      <c r="R7" s="145">
        <v>13</v>
      </c>
      <c r="S7" s="145">
        <f t="shared" si="5"/>
        <v>13</v>
      </c>
      <c r="T7" s="144">
        <f t="shared" si="6"/>
        <v>140.47499999999999</v>
      </c>
      <c r="U7" s="145">
        <v>19</v>
      </c>
      <c r="V7" s="145">
        <f t="shared" si="7"/>
        <v>19</v>
      </c>
      <c r="W7" s="146">
        <v>83.688888888888897</v>
      </c>
      <c r="X7" s="147">
        <v>14</v>
      </c>
      <c r="Y7" s="147">
        <f t="shared" si="8"/>
        <v>14</v>
      </c>
      <c r="Z7" s="146">
        <v>75.557222222222194</v>
      </c>
      <c r="AA7" s="147">
        <v>14</v>
      </c>
      <c r="AB7" s="155">
        <f t="shared" si="9"/>
        <v>14</v>
      </c>
    </row>
    <row r="8" spans="1:28" ht="14.5" customHeight="1">
      <c r="A8" s="116">
        <v>5</v>
      </c>
      <c r="B8" s="117" t="s">
        <v>24</v>
      </c>
      <c r="C8" s="117" t="s">
        <v>20</v>
      </c>
      <c r="D8" s="118">
        <v>2513200106</v>
      </c>
      <c r="E8" s="119">
        <v>81.25</v>
      </c>
      <c r="F8" s="120">
        <v>14</v>
      </c>
      <c r="G8" s="120">
        <f t="shared" si="0"/>
        <v>14</v>
      </c>
      <c r="H8" s="120">
        <v>70.525000000000006</v>
      </c>
      <c r="I8" s="120">
        <v>17</v>
      </c>
      <c r="J8" s="120">
        <f t="shared" si="1"/>
        <v>17</v>
      </c>
      <c r="K8" s="133">
        <v>79.5</v>
      </c>
      <c r="L8" s="133">
        <v>18</v>
      </c>
      <c r="M8" s="133">
        <f t="shared" si="2"/>
        <v>18</v>
      </c>
      <c r="N8" s="133">
        <v>71.900000000000006</v>
      </c>
      <c r="O8" s="133">
        <v>16</v>
      </c>
      <c r="P8" s="133">
        <f t="shared" si="3"/>
        <v>16</v>
      </c>
      <c r="Q8" s="144">
        <f t="shared" si="4"/>
        <v>160.75</v>
      </c>
      <c r="R8" s="145">
        <v>14</v>
      </c>
      <c r="S8" s="145">
        <f t="shared" si="5"/>
        <v>14</v>
      </c>
      <c r="T8" s="144">
        <f t="shared" si="6"/>
        <v>142.42500000000001</v>
      </c>
      <c r="U8" s="145">
        <v>16</v>
      </c>
      <c r="V8" s="145">
        <f t="shared" si="7"/>
        <v>16</v>
      </c>
      <c r="W8" s="146">
        <v>83.566666666666706</v>
      </c>
      <c r="X8" s="147">
        <v>16</v>
      </c>
      <c r="Y8" s="147">
        <f t="shared" si="8"/>
        <v>16</v>
      </c>
      <c r="Z8" s="146">
        <v>73.846666666666707</v>
      </c>
      <c r="AA8" s="147">
        <v>18</v>
      </c>
      <c r="AB8" s="155">
        <f t="shared" si="9"/>
        <v>18</v>
      </c>
    </row>
    <row r="9" spans="1:28" ht="14.5" customHeight="1">
      <c r="A9" s="116">
        <v>6</v>
      </c>
      <c r="B9" s="117" t="s">
        <v>25</v>
      </c>
      <c r="C9" s="117" t="s">
        <v>20</v>
      </c>
      <c r="D9" s="118">
        <v>2513200107</v>
      </c>
      <c r="E9" s="119">
        <v>74.75</v>
      </c>
      <c r="F9" s="120">
        <v>34</v>
      </c>
      <c r="G9" s="120">
        <f t="shared" si="0"/>
        <v>34</v>
      </c>
      <c r="H9" s="120">
        <v>64.625</v>
      </c>
      <c r="I9" s="120">
        <v>36</v>
      </c>
      <c r="J9" s="120">
        <f t="shared" si="1"/>
        <v>36</v>
      </c>
      <c r="K9" s="133">
        <v>76.5</v>
      </c>
      <c r="L9" s="133">
        <v>28</v>
      </c>
      <c r="M9" s="133">
        <f t="shared" si="2"/>
        <v>28</v>
      </c>
      <c r="N9" s="133">
        <v>66.875</v>
      </c>
      <c r="O9" s="133">
        <v>30</v>
      </c>
      <c r="P9" s="133">
        <f t="shared" si="3"/>
        <v>30</v>
      </c>
      <c r="Q9" s="144">
        <f t="shared" si="4"/>
        <v>151.25</v>
      </c>
      <c r="R9" s="145">
        <v>31</v>
      </c>
      <c r="S9" s="145">
        <f t="shared" si="5"/>
        <v>31</v>
      </c>
      <c r="T9" s="144">
        <f t="shared" si="6"/>
        <v>131.5</v>
      </c>
      <c r="U9" s="145">
        <v>33</v>
      </c>
      <c r="V9" s="145">
        <f t="shared" si="7"/>
        <v>33</v>
      </c>
      <c r="W9" s="146">
        <v>79.677777777777806</v>
      </c>
      <c r="X9" s="147">
        <v>30</v>
      </c>
      <c r="Y9" s="147">
        <f t="shared" si="8"/>
        <v>30</v>
      </c>
      <c r="Z9" s="146">
        <v>68.424444444444404</v>
      </c>
      <c r="AA9" s="147">
        <v>36</v>
      </c>
      <c r="AB9" s="155">
        <f t="shared" si="9"/>
        <v>36</v>
      </c>
    </row>
    <row r="10" spans="1:28" ht="14.5" customHeight="1">
      <c r="A10" s="116">
        <v>7</v>
      </c>
      <c r="B10" s="117" t="s">
        <v>26</v>
      </c>
      <c r="C10" s="117" t="s">
        <v>20</v>
      </c>
      <c r="D10" s="118">
        <v>2513200108</v>
      </c>
      <c r="E10" s="119">
        <v>82</v>
      </c>
      <c r="F10" s="120">
        <v>10</v>
      </c>
      <c r="G10" s="120">
        <f t="shared" si="0"/>
        <v>10</v>
      </c>
      <c r="H10" s="120">
        <v>71.349999999999994</v>
      </c>
      <c r="I10" s="120">
        <v>16</v>
      </c>
      <c r="J10" s="120">
        <f t="shared" si="1"/>
        <v>16</v>
      </c>
      <c r="K10" s="133">
        <v>79.785714285714306</v>
      </c>
      <c r="L10" s="133">
        <v>17</v>
      </c>
      <c r="M10" s="133">
        <f t="shared" si="2"/>
        <v>17</v>
      </c>
      <c r="N10" s="133">
        <v>69.174999999999997</v>
      </c>
      <c r="O10" s="133">
        <v>25</v>
      </c>
      <c r="P10" s="133">
        <f t="shared" si="3"/>
        <v>25</v>
      </c>
      <c r="Q10" s="144">
        <f t="shared" si="4"/>
        <v>161.78571428571399</v>
      </c>
      <c r="R10" s="145">
        <v>12</v>
      </c>
      <c r="S10" s="145">
        <f t="shared" si="5"/>
        <v>12</v>
      </c>
      <c r="T10" s="144">
        <f t="shared" si="6"/>
        <v>140.52500000000001</v>
      </c>
      <c r="U10" s="145">
        <v>18</v>
      </c>
      <c r="V10" s="145">
        <f t="shared" si="7"/>
        <v>18</v>
      </c>
      <c r="W10" s="146">
        <v>83.622222222222206</v>
      </c>
      <c r="X10" s="147">
        <v>15</v>
      </c>
      <c r="Y10" s="147">
        <f t="shared" si="8"/>
        <v>15</v>
      </c>
      <c r="Z10" s="146">
        <v>73.710555555555501</v>
      </c>
      <c r="AA10" s="147">
        <v>19</v>
      </c>
      <c r="AB10" s="155">
        <f t="shared" si="9"/>
        <v>19</v>
      </c>
    </row>
    <row r="11" spans="1:28" ht="14.5" customHeight="1">
      <c r="A11" s="116">
        <v>8</v>
      </c>
      <c r="B11" s="117" t="s">
        <v>27</v>
      </c>
      <c r="C11" s="117" t="s">
        <v>20</v>
      </c>
      <c r="D11" s="118">
        <v>2513200109</v>
      </c>
      <c r="E11" s="119">
        <v>67.25</v>
      </c>
      <c r="F11" s="120">
        <v>41</v>
      </c>
      <c r="G11" s="120">
        <f t="shared" si="0"/>
        <v>41</v>
      </c>
      <c r="H11" s="120">
        <v>58.274999999999999</v>
      </c>
      <c r="I11" s="120">
        <v>44</v>
      </c>
      <c r="J11" s="120">
        <f t="shared" si="1"/>
        <v>43</v>
      </c>
      <c r="K11" s="133">
        <v>72.928571428571402</v>
      </c>
      <c r="L11" s="133">
        <v>34</v>
      </c>
      <c r="M11" s="133">
        <f t="shared" si="2"/>
        <v>34</v>
      </c>
      <c r="N11" s="133">
        <v>66.825000000000003</v>
      </c>
      <c r="O11" s="133">
        <v>31</v>
      </c>
      <c r="P11" s="133">
        <f t="shared" si="3"/>
        <v>31</v>
      </c>
      <c r="Q11" s="144">
        <f t="shared" si="4"/>
        <v>140.17857142857099</v>
      </c>
      <c r="R11" s="145">
        <v>40</v>
      </c>
      <c r="S11" s="145">
        <f t="shared" si="5"/>
        <v>40</v>
      </c>
      <c r="T11" s="144">
        <f t="shared" si="6"/>
        <v>125.1</v>
      </c>
      <c r="U11" s="145">
        <v>40</v>
      </c>
      <c r="V11" s="145">
        <f t="shared" si="7"/>
        <v>40</v>
      </c>
      <c r="W11" s="146">
        <v>78.6666666666667</v>
      </c>
      <c r="X11" s="147">
        <v>36</v>
      </c>
      <c r="Y11" s="147">
        <f t="shared" si="8"/>
        <v>36</v>
      </c>
      <c r="Z11" s="146">
        <v>70.1666666666667</v>
      </c>
      <c r="AA11" s="147">
        <v>27</v>
      </c>
      <c r="AB11" s="155">
        <f t="shared" si="9"/>
        <v>27</v>
      </c>
    </row>
    <row r="12" spans="1:28" ht="14.5" customHeight="1">
      <c r="A12" s="116">
        <v>9</v>
      </c>
      <c r="B12" s="117" t="s">
        <v>28</v>
      </c>
      <c r="C12" s="117" t="s">
        <v>20</v>
      </c>
      <c r="D12" s="118">
        <v>2513200110</v>
      </c>
      <c r="E12" s="119">
        <v>74.75</v>
      </c>
      <c r="F12" s="120">
        <v>34</v>
      </c>
      <c r="G12" s="120">
        <f t="shared" si="0"/>
        <v>34</v>
      </c>
      <c r="H12" s="120">
        <v>64.525000000000006</v>
      </c>
      <c r="I12" s="120">
        <v>37</v>
      </c>
      <c r="J12" s="120">
        <f t="shared" si="1"/>
        <v>37</v>
      </c>
      <c r="K12" s="133">
        <v>80.642857142857096</v>
      </c>
      <c r="L12" s="133">
        <v>14</v>
      </c>
      <c r="M12" s="133">
        <f t="shared" si="2"/>
        <v>14</v>
      </c>
      <c r="N12" s="133">
        <v>71.775000000000006</v>
      </c>
      <c r="O12" s="133">
        <v>17</v>
      </c>
      <c r="P12" s="133">
        <f t="shared" si="3"/>
        <v>17</v>
      </c>
      <c r="Q12" s="144">
        <f t="shared" si="4"/>
        <v>155.392857142857</v>
      </c>
      <c r="R12" s="145">
        <v>26</v>
      </c>
      <c r="S12" s="145">
        <f t="shared" si="5"/>
        <v>26</v>
      </c>
      <c r="T12" s="144">
        <f t="shared" si="6"/>
        <v>136.30000000000001</v>
      </c>
      <c r="U12" s="145">
        <v>25</v>
      </c>
      <c r="V12" s="145">
        <f t="shared" si="7"/>
        <v>25</v>
      </c>
      <c r="W12" s="146">
        <v>82.4</v>
      </c>
      <c r="X12" s="147">
        <v>24</v>
      </c>
      <c r="Y12" s="147">
        <f t="shared" si="8"/>
        <v>24</v>
      </c>
      <c r="Z12" s="146">
        <v>72.405000000000001</v>
      </c>
      <c r="AA12" s="147">
        <v>21</v>
      </c>
      <c r="AB12" s="155">
        <f t="shared" si="9"/>
        <v>21</v>
      </c>
    </row>
    <row r="13" spans="1:28" ht="14.5" customHeight="1">
      <c r="A13" s="116">
        <v>10</v>
      </c>
      <c r="B13" s="117" t="s">
        <v>29</v>
      </c>
      <c r="C13" s="117" t="s">
        <v>20</v>
      </c>
      <c r="D13" s="118">
        <v>2513200111</v>
      </c>
      <c r="E13" s="119">
        <v>72</v>
      </c>
      <c r="F13" s="120">
        <v>37</v>
      </c>
      <c r="G13" s="120">
        <f t="shared" si="0"/>
        <v>37</v>
      </c>
      <c r="H13" s="120">
        <v>65.7</v>
      </c>
      <c r="I13" s="120">
        <v>32</v>
      </c>
      <c r="J13" s="120">
        <f t="shared" si="1"/>
        <v>32</v>
      </c>
      <c r="K13" s="133">
        <v>72.642857142857096</v>
      </c>
      <c r="L13" s="133">
        <v>36</v>
      </c>
      <c r="M13" s="133">
        <f t="shared" si="2"/>
        <v>36</v>
      </c>
      <c r="N13" s="133">
        <v>67.2</v>
      </c>
      <c r="O13" s="133">
        <v>29</v>
      </c>
      <c r="P13" s="133">
        <f t="shared" si="3"/>
        <v>29</v>
      </c>
      <c r="Q13" s="144">
        <f t="shared" si="4"/>
        <v>144.642857142857</v>
      </c>
      <c r="R13" s="145">
        <v>37</v>
      </c>
      <c r="S13" s="145">
        <f t="shared" si="5"/>
        <v>37</v>
      </c>
      <c r="T13" s="144">
        <f t="shared" si="6"/>
        <v>132.9</v>
      </c>
      <c r="U13" s="145">
        <v>31</v>
      </c>
      <c r="V13" s="145">
        <f t="shared" si="7"/>
        <v>31</v>
      </c>
      <c r="W13" s="146">
        <v>79.2777777777778</v>
      </c>
      <c r="X13" s="147">
        <v>32</v>
      </c>
      <c r="Y13" s="147">
        <f t="shared" si="8"/>
        <v>32</v>
      </c>
      <c r="Z13" s="146">
        <v>71.394444444444403</v>
      </c>
      <c r="AA13" s="147">
        <v>25</v>
      </c>
      <c r="AB13" s="155">
        <f t="shared" si="9"/>
        <v>25</v>
      </c>
    </row>
    <row r="14" spans="1:28" ht="14.5" customHeight="1">
      <c r="A14" s="116">
        <v>11</v>
      </c>
      <c r="B14" s="117" t="s">
        <v>30</v>
      </c>
      <c r="C14" s="117" t="s">
        <v>20</v>
      </c>
      <c r="D14" s="118">
        <v>2513200112</v>
      </c>
      <c r="E14" s="119">
        <v>78</v>
      </c>
      <c r="F14" s="120">
        <v>24</v>
      </c>
      <c r="G14" s="120">
        <f t="shared" si="0"/>
        <v>24</v>
      </c>
      <c r="H14" s="120">
        <v>69</v>
      </c>
      <c r="I14" s="120">
        <v>21</v>
      </c>
      <c r="J14" s="120">
        <f t="shared" si="1"/>
        <v>21</v>
      </c>
      <c r="K14" s="133">
        <v>77.714285714285694</v>
      </c>
      <c r="L14" s="133">
        <v>25</v>
      </c>
      <c r="M14" s="133">
        <f t="shared" si="2"/>
        <v>25</v>
      </c>
      <c r="N14" s="133">
        <v>69.55</v>
      </c>
      <c r="O14" s="133">
        <v>24</v>
      </c>
      <c r="P14" s="133">
        <f t="shared" si="3"/>
        <v>24</v>
      </c>
      <c r="Q14" s="144">
        <f t="shared" si="4"/>
        <v>155.71428571428601</v>
      </c>
      <c r="R14" s="145">
        <v>25</v>
      </c>
      <c r="S14" s="145">
        <f t="shared" si="5"/>
        <v>25</v>
      </c>
      <c r="T14" s="144">
        <f t="shared" si="6"/>
        <v>138.55000000000001</v>
      </c>
      <c r="U14" s="145">
        <v>22</v>
      </c>
      <c r="V14" s="145">
        <f t="shared" si="7"/>
        <v>22</v>
      </c>
      <c r="W14" s="146">
        <v>85.622222222222206</v>
      </c>
      <c r="X14" s="147">
        <v>9</v>
      </c>
      <c r="Y14" s="147">
        <f t="shared" si="8"/>
        <v>9</v>
      </c>
      <c r="Z14" s="146">
        <v>76.060555555555595</v>
      </c>
      <c r="AA14" s="147">
        <v>13</v>
      </c>
      <c r="AB14" s="155">
        <f t="shared" si="9"/>
        <v>13</v>
      </c>
    </row>
    <row r="15" spans="1:28" ht="14.5" customHeight="1">
      <c r="A15" s="116">
        <v>12</v>
      </c>
      <c r="B15" s="117" t="s">
        <v>31</v>
      </c>
      <c r="C15" s="117" t="s">
        <v>20</v>
      </c>
      <c r="D15" s="118">
        <v>2513200113</v>
      </c>
      <c r="E15" s="119">
        <v>77.25</v>
      </c>
      <c r="F15" s="120">
        <v>29</v>
      </c>
      <c r="G15" s="120">
        <f t="shared" si="0"/>
        <v>29</v>
      </c>
      <c r="H15" s="120">
        <v>66.325000000000003</v>
      </c>
      <c r="I15" s="120">
        <v>30</v>
      </c>
      <c r="J15" s="120">
        <f t="shared" si="1"/>
        <v>30</v>
      </c>
      <c r="K15" s="133">
        <v>73.357142857142904</v>
      </c>
      <c r="L15" s="133">
        <v>33</v>
      </c>
      <c r="M15" s="133">
        <f t="shared" si="2"/>
        <v>33</v>
      </c>
      <c r="N15" s="133">
        <v>64.474999999999994</v>
      </c>
      <c r="O15" s="133">
        <v>37</v>
      </c>
      <c r="P15" s="133">
        <f t="shared" si="3"/>
        <v>37</v>
      </c>
      <c r="Q15" s="144">
        <f t="shared" si="4"/>
        <v>150.607142857143</v>
      </c>
      <c r="R15" s="145">
        <v>32</v>
      </c>
      <c r="S15" s="145">
        <f t="shared" si="5"/>
        <v>32</v>
      </c>
      <c r="T15" s="144">
        <f t="shared" si="6"/>
        <v>130.80000000000001</v>
      </c>
      <c r="U15" s="145">
        <v>35</v>
      </c>
      <c r="V15" s="145">
        <f t="shared" si="7"/>
        <v>35</v>
      </c>
      <c r="W15" s="146">
        <v>83.122222222222206</v>
      </c>
      <c r="X15" s="147">
        <v>19</v>
      </c>
      <c r="Y15" s="147">
        <f t="shared" si="8"/>
        <v>19</v>
      </c>
      <c r="Z15" s="146">
        <v>71.960555555555601</v>
      </c>
      <c r="AA15" s="147">
        <v>23</v>
      </c>
      <c r="AB15" s="155">
        <f t="shared" si="9"/>
        <v>23</v>
      </c>
    </row>
    <row r="16" spans="1:28" ht="14.5" customHeight="1">
      <c r="A16" s="116">
        <v>13</v>
      </c>
      <c r="B16" s="117" t="s">
        <v>32</v>
      </c>
      <c r="C16" s="117" t="s">
        <v>20</v>
      </c>
      <c r="D16" s="121">
        <v>2513200114</v>
      </c>
      <c r="E16" s="119">
        <v>69.25</v>
      </c>
      <c r="F16" s="120">
        <v>39</v>
      </c>
      <c r="G16" s="120">
        <f t="shared" si="0"/>
        <v>39</v>
      </c>
      <c r="H16" s="120">
        <v>61.125</v>
      </c>
      <c r="I16" s="120">
        <v>40</v>
      </c>
      <c r="J16" s="120">
        <f t="shared" si="1"/>
        <v>39</v>
      </c>
      <c r="K16" s="133">
        <v>67.142857142857096</v>
      </c>
      <c r="L16" s="133">
        <v>46</v>
      </c>
      <c r="M16" s="133">
        <f t="shared" si="2"/>
        <v>46</v>
      </c>
      <c r="N16" s="133">
        <v>58.95</v>
      </c>
      <c r="O16" s="133">
        <v>45</v>
      </c>
      <c r="P16" s="133">
        <f t="shared" si="3"/>
        <v>45</v>
      </c>
      <c r="Q16" s="144">
        <f t="shared" si="4"/>
        <v>136.392857142857</v>
      </c>
      <c r="R16" s="145">
        <v>43</v>
      </c>
      <c r="S16" s="145">
        <f t="shared" si="5"/>
        <v>43</v>
      </c>
      <c r="T16" s="144">
        <f t="shared" si="6"/>
        <v>120.075</v>
      </c>
      <c r="U16" s="145">
        <v>42</v>
      </c>
      <c r="V16" s="145">
        <f t="shared" si="7"/>
        <v>42</v>
      </c>
      <c r="W16" s="146">
        <v>76.955555555555605</v>
      </c>
      <c r="X16" s="147">
        <v>40</v>
      </c>
      <c r="Y16" s="147">
        <f t="shared" si="8"/>
        <v>40</v>
      </c>
      <c r="Z16" s="146">
        <v>67.343888888888898</v>
      </c>
      <c r="AA16" s="147">
        <v>39</v>
      </c>
      <c r="AB16" s="155">
        <f t="shared" si="9"/>
        <v>39</v>
      </c>
    </row>
    <row r="17" spans="1:28" ht="14.5" customHeight="1">
      <c r="A17" s="116">
        <v>14</v>
      </c>
      <c r="B17" s="117" t="s">
        <v>33</v>
      </c>
      <c r="C17" s="117" t="s">
        <v>20</v>
      </c>
      <c r="D17" s="121">
        <v>2513200115</v>
      </c>
      <c r="E17" s="119">
        <v>72</v>
      </c>
      <c r="F17" s="120">
        <v>37</v>
      </c>
      <c r="G17" s="120">
        <f t="shared" si="0"/>
        <v>37</v>
      </c>
      <c r="H17" s="120">
        <v>62.8</v>
      </c>
      <c r="I17" s="120">
        <v>39</v>
      </c>
      <c r="J17" s="120">
        <f t="shared" si="1"/>
        <v>38</v>
      </c>
      <c r="K17" s="133">
        <v>72.5</v>
      </c>
      <c r="L17" s="133">
        <v>37</v>
      </c>
      <c r="M17" s="133">
        <f t="shared" si="2"/>
        <v>37</v>
      </c>
      <c r="N17" s="133">
        <v>64.099999999999994</v>
      </c>
      <c r="O17" s="133">
        <v>38</v>
      </c>
      <c r="P17" s="133">
        <f t="shared" si="3"/>
        <v>38</v>
      </c>
      <c r="Q17" s="144">
        <f t="shared" si="4"/>
        <v>144.5</v>
      </c>
      <c r="R17" s="145">
        <v>38</v>
      </c>
      <c r="S17" s="145">
        <f t="shared" si="5"/>
        <v>38</v>
      </c>
      <c r="T17" s="144">
        <f t="shared" si="6"/>
        <v>126.9</v>
      </c>
      <c r="U17" s="145">
        <v>39</v>
      </c>
      <c r="V17" s="145">
        <f t="shared" si="7"/>
        <v>39</v>
      </c>
      <c r="W17" s="146">
        <v>79.955555555555605</v>
      </c>
      <c r="X17" s="147">
        <v>28</v>
      </c>
      <c r="Y17" s="147">
        <f t="shared" si="8"/>
        <v>28</v>
      </c>
      <c r="Z17" s="146">
        <v>70.143888888888895</v>
      </c>
      <c r="AA17" s="147">
        <v>28</v>
      </c>
      <c r="AB17" s="155">
        <f t="shared" si="9"/>
        <v>28</v>
      </c>
    </row>
    <row r="18" spans="1:28" ht="14.5" customHeight="1">
      <c r="A18" s="116">
        <v>15</v>
      </c>
      <c r="B18" s="117" t="s">
        <v>34</v>
      </c>
      <c r="C18" s="117" t="s">
        <v>20</v>
      </c>
      <c r="D18" s="118">
        <v>2513200116</v>
      </c>
      <c r="E18" s="119">
        <v>82.25</v>
      </c>
      <c r="F18" s="120">
        <v>9</v>
      </c>
      <c r="G18" s="120">
        <f t="shared" si="0"/>
        <v>9</v>
      </c>
      <c r="H18" s="120">
        <v>74.724999999999994</v>
      </c>
      <c r="I18" s="120">
        <v>8</v>
      </c>
      <c r="J18" s="120">
        <f t="shared" si="1"/>
        <v>8</v>
      </c>
      <c r="K18" s="133">
        <v>85.142857142857096</v>
      </c>
      <c r="L18" s="133">
        <v>4</v>
      </c>
      <c r="M18" s="133">
        <f t="shared" si="2"/>
        <v>4</v>
      </c>
      <c r="N18" s="133">
        <v>78.45</v>
      </c>
      <c r="O18" s="133">
        <v>8</v>
      </c>
      <c r="P18" s="133">
        <f t="shared" si="3"/>
        <v>8</v>
      </c>
      <c r="Q18" s="144">
        <f t="shared" si="4"/>
        <v>167.392857142857</v>
      </c>
      <c r="R18" s="145">
        <v>8</v>
      </c>
      <c r="S18" s="145">
        <f t="shared" si="5"/>
        <v>8</v>
      </c>
      <c r="T18" s="144">
        <f t="shared" si="6"/>
        <v>153.17500000000001</v>
      </c>
      <c r="U18" s="145">
        <v>9</v>
      </c>
      <c r="V18" s="145">
        <f t="shared" si="7"/>
        <v>9</v>
      </c>
      <c r="W18" s="146">
        <v>86.177777777777806</v>
      </c>
      <c r="X18" s="147">
        <v>7</v>
      </c>
      <c r="Y18" s="147">
        <f t="shared" si="8"/>
        <v>7</v>
      </c>
      <c r="Z18" s="146">
        <v>78.124444444444407</v>
      </c>
      <c r="AA18" s="147">
        <v>11</v>
      </c>
      <c r="AB18" s="155">
        <f t="shared" si="9"/>
        <v>11</v>
      </c>
    </row>
    <row r="19" spans="1:28" ht="14.5" customHeight="1">
      <c r="A19" s="116">
        <v>16</v>
      </c>
      <c r="B19" s="117" t="s">
        <v>35</v>
      </c>
      <c r="C19" s="117" t="s">
        <v>20</v>
      </c>
      <c r="D19" s="118">
        <v>2513200117</v>
      </c>
      <c r="E19" s="119">
        <v>84.25</v>
      </c>
      <c r="F19" s="120">
        <v>5</v>
      </c>
      <c r="G19" s="120">
        <f t="shared" si="0"/>
        <v>5</v>
      </c>
      <c r="H19" s="120">
        <v>85.325000000000003</v>
      </c>
      <c r="I19" s="120">
        <v>1</v>
      </c>
      <c r="J19" s="120">
        <f t="shared" si="1"/>
        <v>1</v>
      </c>
      <c r="K19" s="133">
        <v>86.142857142857096</v>
      </c>
      <c r="L19" s="133">
        <v>2</v>
      </c>
      <c r="M19" s="133">
        <f t="shared" si="2"/>
        <v>2</v>
      </c>
      <c r="N19" s="133">
        <v>83.325000000000003</v>
      </c>
      <c r="O19" s="133">
        <v>3</v>
      </c>
      <c r="P19" s="133">
        <f t="shared" si="3"/>
        <v>3</v>
      </c>
      <c r="Q19" s="144">
        <f t="shared" si="4"/>
        <v>170.392857142857</v>
      </c>
      <c r="R19" s="145">
        <v>3</v>
      </c>
      <c r="S19" s="145">
        <f t="shared" si="5"/>
        <v>3</v>
      </c>
      <c r="T19" s="144">
        <f t="shared" si="6"/>
        <v>168.65</v>
      </c>
      <c r="U19" s="145">
        <v>1</v>
      </c>
      <c r="V19" s="145">
        <f t="shared" si="7"/>
        <v>1</v>
      </c>
      <c r="W19" s="146">
        <v>86.011111111111106</v>
      </c>
      <c r="X19" s="147">
        <v>8</v>
      </c>
      <c r="Y19" s="147">
        <f t="shared" si="8"/>
        <v>8</v>
      </c>
      <c r="Z19" s="146">
        <v>83.132777777777804</v>
      </c>
      <c r="AA19" s="147">
        <v>4</v>
      </c>
      <c r="AB19" s="155">
        <f t="shared" si="9"/>
        <v>4</v>
      </c>
    </row>
    <row r="20" spans="1:28" ht="14.5" customHeight="1">
      <c r="A20" s="116">
        <v>17</v>
      </c>
      <c r="B20" s="117" t="s">
        <v>36</v>
      </c>
      <c r="C20" s="117" t="s">
        <v>20</v>
      </c>
      <c r="D20" s="118">
        <v>2513200118</v>
      </c>
      <c r="E20" s="119">
        <v>78</v>
      </c>
      <c r="F20" s="120">
        <v>24</v>
      </c>
      <c r="G20" s="120">
        <f t="shared" si="0"/>
        <v>24</v>
      </c>
      <c r="H20" s="120">
        <v>66.849999999999994</v>
      </c>
      <c r="I20" s="120">
        <v>29</v>
      </c>
      <c r="J20" s="120">
        <f t="shared" si="1"/>
        <v>29</v>
      </c>
      <c r="K20" s="133">
        <v>82.714285714285694</v>
      </c>
      <c r="L20" s="133">
        <v>8</v>
      </c>
      <c r="M20" s="133">
        <f t="shared" si="2"/>
        <v>8</v>
      </c>
      <c r="N20" s="133">
        <v>71.224999999999994</v>
      </c>
      <c r="O20" s="133">
        <v>20</v>
      </c>
      <c r="P20" s="133">
        <f t="shared" si="3"/>
        <v>20</v>
      </c>
      <c r="Q20" s="144">
        <f t="shared" si="4"/>
        <v>160.71428571428601</v>
      </c>
      <c r="R20" s="145">
        <v>15</v>
      </c>
      <c r="S20" s="145">
        <f t="shared" si="5"/>
        <v>15</v>
      </c>
      <c r="T20" s="144">
        <f t="shared" si="6"/>
        <v>138.07499999999999</v>
      </c>
      <c r="U20" s="145">
        <v>24</v>
      </c>
      <c r="V20" s="145">
        <f t="shared" si="7"/>
        <v>24</v>
      </c>
      <c r="W20" s="146">
        <v>82.577777777777797</v>
      </c>
      <c r="X20" s="147">
        <v>23</v>
      </c>
      <c r="Y20" s="147">
        <f t="shared" si="8"/>
        <v>23</v>
      </c>
      <c r="Z20" s="146">
        <v>69.854444444444397</v>
      </c>
      <c r="AA20" s="147">
        <v>31</v>
      </c>
      <c r="AB20" s="155">
        <f t="shared" si="9"/>
        <v>31</v>
      </c>
    </row>
    <row r="21" spans="1:28" ht="14.5" customHeight="1">
      <c r="A21" s="116">
        <v>18</v>
      </c>
      <c r="B21" s="117" t="s">
        <v>37</v>
      </c>
      <c r="C21" s="117" t="s">
        <v>20</v>
      </c>
      <c r="D21" s="118">
        <v>2513200119</v>
      </c>
      <c r="E21" s="119">
        <v>78.25</v>
      </c>
      <c r="F21" s="120">
        <v>22</v>
      </c>
      <c r="G21" s="120">
        <f t="shared" si="0"/>
        <v>22</v>
      </c>
      <c r="H21" s="120">
        <v>71.775000000000006</v>
      </c>
      <c r="I21" s="120">
        <v>14</v>
      </c>
      <c r="J21" s="120">
        <f t="shared" si="1"/>
        <v>14</v>
      </c>
      <c r="K21" s="133">
        <v>81.071428571428598</v>
      </c>
      <c r="L21" s="133">
        <v>13</v>
      </c>
      <c r="M21" s="133">
        <f t="shared" si="2"/>
        <v>13</v>
      </c>
      <c r="N21" s="133">
        <v>73.275000000000006</v>
      </c>
      <c r="O21" s="133">
        <v>14</v>
      </c>
      <c r="P21" s="133">
        <f t="shared" si="3"/>
        <v>14</v>
      </c>
      <c r="Q21" s="144">
        <f t="shared" si="4"/>
        <v>159.32142857142901</v>
      </c>
      <c r="R21" s="145">
        <v>18</v>
      </c>
      <c r="S21" s="145">
        <f t="shared" si="5"/>
        <v>18</v>
      </c>
      <c r="T21" s="144">
        <f t="shared" si="6"/>
        <v>145.05000000000001</v>
      </c>
      <c r="U21" s="145">
        <v>13</v>
      </c>
      <c r="V21" s="145">
        <f t="shared" si="7"/>
        <v>13</v>
      </c>
      <c r="W21" s="146">
        <v>85.011111111111106</v>
      </c>
      <c r="X21" s="147">
        <v>12</v>
      </c>
      <c r="Y21" s="147">
        <f t="shared" si="8"/>
        <v>12</v>
      </c>
      <c r="Z21" s="146">
        <v>75.182777777777801</v>
      </c>
      <c r="AA21" s="147">
        <v>15</v>
      </c>
      <c r="AB21" s="155">
        <f t="shared" si="9"/>
        <v>15</v>
      </c>
    </row>
    <row r="22" spans="1:28" ht="14.5" customHeight="1">
      <c r="A22" s="116">
        <v>19</v>
      </c>
      <c r="B22" s="117" t="s">
        <v>38</v>
      </c>
      <c r="C22" s="117" t="s">
        <v>20</v>
      </c>
      <c r="D22" s="118">
        <v>2513200120</v>
      </c>
      <c r="E22" s="119">
        <v>72.25</v>
      </c>
      <c r="F22" s="120">
        <v>36</v>
      </c>
      <c r="G22" s="120">
        <f t="shared" si="0"/>
        <v>36</v>
      </c>
      <c r="H22" s="120">
        <v>65.224999999999994</v>
      </c>
      <c r="I22" s="120">
        <v>34</v>
      </c>
      <c r="J22" s="120">
        <f t="shared" si="1"/>
        <v>34</v>
      </c>
      <c r="K22" s="133">
        <v>75.857142857142904</v>
      </c>
      <c r="L22" s="133">
        <v>29</v>
      </c>
      <c r="M22" s="133">
        <f t="shared" si="2"/>
        <v>29</v>
      </c>
      <c r="N22" s="133">
        <v>68.325000000000003</v>
      </c>
      <c r="O22" s="133">
        <v>27</v>
      </c>
      <c r="P22" s="133">
        <f t="shared" si="3"/>
        <v>27</v>
      </c>
      <c r="Q22" s="144">
        <f t="shared" si="4"/>
        <v>148.107142857143</v>
      </c>
      <c r="R22" s="145">
        <v>34</v>
      </c>
      <c r="S22" s="145">
        <f t="shared" si="5"/>
        <v>34</v>
      </c>
      <c r="T22" s="144">
        <f t="shared" si="6"/>
        <v>133.55000000000001</v>
      </c>
      <c r="U22" s="145">
        <v>29</v>
      </c>
      <c r="V22" s="145">
        <f t="shared" si="7"/>
        <v>29</v>
      </c>
      <c r="W22" s="146">
        <v>84.733333333333306</v>
      </c>
      <c r="X22" s="147">
        <v>13</v>
      </c>
      <c r="Y22" s="147">
        <f t="shared" si="8"/>
        <v>13</v>
      </c>
      <c r="Z22" s="146">
        <v>80.038333333333298</v>
      </c>
      <c r="AA22" s="147">
        <v>6</v>
      </c>
      <c r="AB22" s="155">
        <f t="shared" si="9"/>
        <v>6</v>
      </c>
    </row>
    <row r="23" spans="1:28" ht="14.5" customHeight="1">
      <c r="A23" s="116">
        <v>20</v>
      </c>
      <c r="B23" s="117" t="s">
        <v>39</v>
      </c>
      <c r="C23" s="117" t="s">
        <v>20</v>
      </c>
      <c r="D23" s="118">
        <v>2513200121</v>
      </c>
      <c r="E23" s="119">
        <v>83</v>
      </c>
      <c r="F23" s="120">
        <v>7</v>
      </c>
      <c r="G23" s="120">
        <f t="shared" si="0"/>
        <v>7</v>
      </c>
      <c r="H23" s="120">
        <v>78.150000000000006</v>
      </c>
      <c r="I23" s="120">
        <v>4</v>
      </c>
      <c r="J23" s="120">
        <f t="shared" si="1"/>
        <v>4</v>
      </c>
      <c r="K23" s="133">
        <v>84.5</v>
      </c>
      <c r="L23" s="133">
        <v>5</v>
      </c>
      <c r="M23" s="133">
        <f t="shared" si="2"/>
        <v>5</v>
      </c>
      <c r="N23" s="133">
        <v>83.025000000000006</v>
      </c>
      <c r="O23" s="133">
        <v>4</v>
      </c>
      <c r="P23" s="133">
        <f t="shared" si="3"/>
        <v>4</v>
      </c>
      <c r="Q23" s="144">
        <f t="shared" si="4"/>
        <v>167.5</v>
      </c>
      <c r="R23" s="145">
        <v>7</v>
      </c>
      <c r="S23" s="145">
        <f t="shared" si="5"/>
        <v>7</v>
      </c>
      <c r="T23" s="144">
        <f t="shared" si="6"/>
        <v>161.17500000000001</v>
      </c>
      <c r="U23" s="145">
        <v>4</v>
      </c>
      <c r="V23" s="145">
        <f t="shared" si="7"/>
        <v>4</v>
      </c>
      <c r="W23" s="146">
        <v>89.177777777777806</v>
      </c>
      <c r="X23" s="147">
        <v>2</v>
      </c>
      <c r="Y23" s="147">
        <f t="shared" si="8"/>
        <v>2</v>
      </c>
      <c r="Z23" s="146">
        <v>87.849444444444401</v>
      </c>
      <c r="AA23" s="147">
        <v>2</v>
      </c>
      <c r="AB23" s="155">
        <f t="shared" si="9"/>
        <v>2</v>
      </c>
    </row>
    <row r="24" spans="1:28" ht="14.5" customHeight="1">
      <c r="A24" s="116">
        <v>21</v>
      </c>
      <c r="B24" s="117" t="s">
        <v>40</v>
      </c>
      <c r="C24" s="117" t="s">
        <v>20</v>
      </c>
      <c r="D24" s="118">
        <v>2513200122</v>
      </c>
      <c r="E24" s="119">
        <v>86</v>
      </c>
      <c r="F24" s="120">
        <v>3</v>
      </c>
      <c r="G24" s="120">
        <f t="shared" si="0"/>
        <v>3</v>
      </c>
      <c r="H24" s="120">
        <v>74.599999999999994</v>
      </c>
      <c r="I24" s="120">
        <v>9</v>
      </c>
      <c r="J24" s="120">
        <f t="shared" si="1"/>
        <v>9</v>
      </c>
      <c r="K24" s="133">
        <v>83.5</v>
      </c>
      <c r="L24" s="133">
        <v>7</v>
      </c>
      <c r="M24" s="133">
        <f t="shared" si="2"/>
        <v>7</v>
      </c>
      <c r="N24" s="133">
        <v>78.8</v>
      </c>
      <c r="O24" s="133">
        <v>7</v>
      </c>
      <c r="P24" s="133">
        <f t="shared" si="3"/>
        <v>7</v>
      </c>
      <c r="Q24" s="144">
        <f t="shared" si="4"/>
        <v>169.5</v>
      </c>
      <c r="R24" s="145">
        <v>5</v>
      </c>
      <c r="S24" s="145">
        <f t="shared" si="5"/>
        <v>5</v>
      </c>
      <c r="T24" s="144">
        <f t="shared" si="6"/>
        <v>153.4</v>
      </c>
      <c r="U24" s="145">
        <v>8</v>
      </c>
      <c r="V24" s="145">
        <f t="shared" si="7"/>
        <v>8</v>
      </c>
      <c r="W24" s="146">
        <v>85.622222222222206</v>
      </c>
      <c r="X24" s="147">
        <v>9</v>
      </c>
      <c r="Y24" s="147">
        <f t="shared" si="8"/>
        <v>9</v>
      </c>
      <c r="Z24" s="146">
        <v>79.235555555555607</v>
      </c>
      <c r="AA24" s="147">
        <v>9</v>
      </c>
      <c r="AB24" s="155">
        <f t="shared" si="9"/>
        <v>9</v>
      </c>
    </row>
    <row r="25" spans="1:28" ht="14.5" customHeight="1">
      <c r="A25" s="116">
        <v>22</v>
      </c>
      <c r="B25" s="117" t="s">
        <v>41</v>
      </c>
      <c r="C25" s="117" t="s">
        <v>20</v>
      </c>
      <c r="D25" s="118">
        <v>2513200123</v>
      </c>
      <c r="E25" s="119">
        <v>77.75</v>
      </c>
      <c r="F25" s="120">
        <v>26</v>
      </c>
      <c r="G25" s="120">
        <f t="shared" si="0"/>
        <v>26</v>
      </c>
      <c r="H25" s="120">
        <v>65.625</v>
      </c>
      <c r="I25" s="120">
        <v>33</v>
      </c>
      <c r="J25" s="120">
        <f t="shared" si="1"/>
        <v>33</v>
      </c>
      <c r="K25" s="133">
        <v>72.714285714285694</v>
      </c>
      <c r="L25" s="133">
        <v>35</v>
      </c>
      <c r="M25" s="133">
        <f t="shared" si="2"/>
        <v>35</v>
      </c>
      <c r="N25" s="133">
        <v>62</v>
      </c>
      <c r="O25" s="133">
        <v>42</v>
      </c>
      <c r="P25" s="133">
        <f t="shared" si="3"/>
        <v>42</v>
      </c>
      <c r="Q25" s="144">
        <f t="shared" si="4"/>
        <v>150.46428571428601</v>
      </c>
      <c r="R25" s="145">
        <v>33</v>
      </c>
      <c r="S25" s="145">
        <f t="shared" si="5"/>
        <v>33</v>
      </c>
      <c r="T25" s="144">
        <f t="shared" si="6"/>
        <v>127.625</v>
      </c>
      <c r="U25" s="145">
        <v>37</v>
      </c>
      <c r="V25" s="145">
        <f t="shared" si="7"/>
        <v>37</v>
      </c>
      <c r="W25" s="146">
        <v>80.966666666666697</v>
      </c>
      <c r="X25" s="147">
        <v>26</v>
      </c>
      <c r="Y25" s="147">
        <f t="shared" si="8"/>
        <v>26</v>
      </c>
      <c r="Z25" s="146">
        <v>71.301666666666705</v>
      </c>
      <c r="AA25" s="147">
        <v>26</v>
      </c>
      <c r="AB25" s="155">
        <f t="shared" si="9"/>
        <v>26</v>
      </c>
    </row>
    <row r="26" spans="1:28" ht="14.5" customHeight="1">
      <c r="A26" s="116">
        <v>23</v>
      </c>
      <c r="B26" s="117" t="s">
        <v>42</v>
      </c>
      <c r="C26" s="117" t="s">
        <v>20</v>
      </c>
      <c r="D26" s="118">
        <v>2513200124</v>
      </c>
      <c r="E26" s="119">
        <v>77.75</v>
      </c>
      <c r="F26" s="120">
        <v>26</v>
      </c>
      <c r="G26" s="120">
        <f t="shared" si="0"/>
        <v>26</v>
      </c>
      <c r="H26" s="120">
        <v>67.174999999999997</v>
      </c>
      <c r="I26" s="120">
        <v>27</v>
      </c>
      <c r="J26" s="120">
        <f t="shared" si="1"/>
        <v>27</v>
      </c>
      <c r="K26" s="133">
        <v>69.714285714285694</v>
      </c>
      <c r="L26" s="133">
        <v>45</v>
      </c>
      <c r="M26" s="133">
        <f t="shared" si="2"/>
        <v>45</v>
      </c>
      <c r="N26" s="133">
        <v>62.4</v>
      </c>
      <c r="O26" s="133">
        <v>40</v>
      </c>
      <c r="P26" s="133">
        <f t="shared" si="3"/>
        <v>40</v>
      </c>
      <c r="Q26" s="144">
        <f t="shared" si="4"/>
        <v>147.46428571428601</v>
      </c>
      <c r="R26" s="145">
        <v>35</v>
      </c>
      <c r="S26" s="145">
        <f t="shared" si="5"/>
        <v>35</v>
      </c>
      <c r="T26" s="144">
        <f t="shared" si="6"/>
        <v>129.57499999999999</v>
      </c>
      <c r="U26" s="145">
        <v>36</v>
      </c>
      <c r="V26" s="145">
        <f t="shared" si="7"/>
        <v>36</v>
      </c>
      <c r="W26" s="146">
        <v>76.900000000000006</v>
      </c>
      <c r="X26" s="147">
        <v>42</v>
      </c>
      <c r="Y26" s="147">
        <f t="shared" si="8"/>
        <v>42</v>
      </c>
      <c r="Z26" s="146">
        <v>64.555000000000007</v>
      </c>
      <c r="AA26" s="147">
        <v>44</v>
      </c>
      <c r="AB26" s="155">
        <f t="shared" si="9"/>
        <v>44</v>
      </c>
    </row>
    <row r="27" spans="1:28" ht="14.5" customHeight="1">
      <c r="A27" s="116">
        <v>24</v>
      </c>
      <c r="B27" s="117" t="s">
        <v>43</v>
      </c>
      <c r="C27" s="117" t="s">
        <v>20</v>
      </c>
      <c r="D27" s="118">
        <v>2513200125</v>
      </c>
      <c r="E27" s="119">
        <v>81.75</v>
      </c>
      <c r="F27" s="120">
        <v>12</v>
      </c>
      <c r="G27" s="120">
        <f t="shared" si="0"/>
        <v>12</v>
      </c>
      <c r="H27" s="120">
        <v>71.575000000000003</v>
      </c>
      <c r="I27" s="120">
        <v>15</v>
      </c>
      <c r="J27" s="120">
        <f t="shared" si="1"/>
        <v>15</v>
      </c>
      <c r="K27" s="133">
        <v>70</v>
      </c>
      <c r="L27" s="133">
        <v>44</v>
      </c>
      <c r="M27" s="133">
        <f t="shared" si="2"/>
        <v>44</v>
      </c>
      <c r="N27" s="133">
        <v>61.6</v>
      </c>
      <c r="O27" s="133">
        <v>43</v>
      </c>
      <c r="P27" s="133">
        <f t="shared" si="3"/>
        <v>43</v>
      </c>
      <c r="Q27" s="144">
        <f t="shared" si="4"/>
        <v>151.75</v>
      </c>
      <c r="R27" s="145">
        <v>30</v>
      </c>
      <c r="S27" s="145">
        <f t="shared" si="5"/>
        <v>30</v>
      </c>
      <c r="T27" s="144">
        <f t="shared" si="6"/>
        <v>133.17500000000001</v>
      </c>
      <c r="U27" s="145">
        <v>30</v>
      </c>
      <c r="V27" s="145">
        <f t="shared" si="7"/>
        <v>30</v>
      </c>
      <c r="W27" s="146">
        <v>76.5</v>
      </c>
      <c r="X27" s="147">
        <v>43</v>
      </c>
      <c r="Y27" s="147">
        <f t="shared" si="8"/>
        <v>43</v>
      </c>
      <c r="Z27" s="146">
        <v>65.349999999999994</v>
      </c>
      <c r="AA27" s="147">
        <v>42</v>
      </c>
      <c r="AB27" s="155">
        <f t="shared" si="9"/>
        <v>42</v>
      </c>
    </row>
    <row r="28" spans="1:28" ht="14.5" customHeight="1">
      <c r="A28" s="116">
        <v>25</v>
      </c>
      <c r="B28" s="117" t="s">
        <v>44</v>
      </c>
      <c r="C28" s="117" t="s">
        <v>20</v>
      </c>
      <c r="D28" s="118">
        <v>2513200126</v>
      </c>
      <c r="E28" s="119">
        <v>80.75</v>
      </c>
      <c r="F28" s="120">
        <v>17</v>
      </c>
      <c r="G28" s="120">
        <f t="shared" si="0"/>
        <v>17</v>
      </c>
      <c r="H28" s="120">
        <v>74.375</v>
      </c>
      <c r="I28" s="120">
        <v>10</v>
      </c>
      <c r="J28" s="120">
        <f t="shared" si="1"/>
        <v>10</v>
      </c>
      <c r="K28" s="133">
        <v>84.5</v>
      </c>
      <c r="L28" s="133">
        <v>5</v>
      </c>
      <c r="M28" s="133">
        <f t="shared" si="2"/>
        <v>5</v>
      </c>
      <c r="N28" s="133">
        <v>80.275000000000006</v>
      </c>
      <c r="O28" s="133">
        <v>6</v>
      </c>
      <c r="P28" s="133">
        <f t="shared" si="3"/>
        <v>6</v>
      </c>
      <c r="Q28" s="144">
        <f t="shared" si="4"/>
        <v>165.25</v>
      </c>
      <c r="R28" s="145">
        <v>9</v>
      </c>
      <c r="S28" s="145">
        <f t="shared" si="5"/>
        <v>9</v>
      </c>
      <c r="T28" s="144">
        <f t="shared" si="6"/>
        <v>154.65</v>
      </c>
      <c r="U28" s="145">
        <v>7</v>
      </c>
      <c r="V28" s="145">
        <f t="shared" si="7"/>
        <v>7</v>
      </c>
      <c r="W28" s="146">
        <v>86.955555555555605</v>
      </c>
      <c r="X28" s="147">
        <v>5</v>
      </c>
      <c r="Y28" s="147">
        <f t="shared" si="8"/>
        <v>5</v>
      </c>
      <c r="Z28" s="146">
        <v>82.093888888888898</v>
      </c>
      <c r="AA28" s="147">
        <v>5</v>
      </c>
      <c r="AB28" s="155">
        <f t="shared" si="9"/>
        <v>5</v>
      </c>
    </row>
    <row r="29" spans="1:28" ht="14.5" customHeight="1">
      <c r="A29" s="116">
        <v>26</v>
      </c>
      <c r="B29" s="117" t="s">
        <v>45</v>
      </c>
      <c r="C29" s="117" t="s">
        <v>20</v>
      </c>
      <c r="D29" s="118">
        <v>2513200127</v>
      </c>
      <c r="E29" s="119">
        <v>65.5</v>
      </c>
      <c r="F29" s="120">
        <v>44</v>
      </c>
      <c r="G29" s="120">
        <f t="shared" si="0"/>
        <v>44</v>
      </c>
      <c r="H29" s="120">
        <v>58.7</v>
      </c>
      <c r="I29" s="120">
        <v>42</v>
      </c>
      <c r="J29" s="120">
        <f t="shared" si="1"/>
        <v>41</v>
      </c>
      <c r="K29" s="133">
        <v>70.714285714285694</v>
      </c>
      <c r="L29" s="133">
        <v>42</v>
      </c>
      <c r="M29" s="133">
        <f t="shared" si="2"/>
        <v>42</v>
      </c>
      <c r="N29" s="133">
        <v>65.575000000000003</v>
      </c>
      <c r="O29" s="133">
        <v>36</v>
      </c>
      <c r="P29" s="133">
        <f t="shared" si="3"/>
        <v>36</v>
      </c>
      <c r="Q29" s="144">
        <f t="shared" si="4"/>
        <v>136.21428571428601</v>
      </c>
      <c r="R29" s="145">
        <v>44</v>
      </c>
      <c r="S29" s="145">
        <f t="shared" si="5"/>
        <v>44</v>
      </c>
      <c r="T29" s="144">
        <f t="shared" si="6"/>
        <v>124.27500000000001</v>
      </c>
      <c r="U29" s="145">
        <v>41</v>
      </c>
      <c r="V29" s="145">
        <f t="shared" si="7"/>
        <v>41</v>
      </c>
      <c r="W29" s="146">
        <v>74.844444444444406</v>
      </c>
      <c r="X29" s="147">
        <v>44</v>
      </c>
      <c r="Y29" s="147">
        <f t="shared" si="8"/>
        <v>44</v>
      </c>
      <c r="Z29" s="146">
        <v>65.916111111111107</v>
      </c>
      <c r="AA29" s="147">
        <v>40</v>
      </c>
      <c r="AB29" s="155">
        <f t="shared" si="9"/>
        <v>40</v>
      </c>
    </row>
    <row r="30" spans="1:28" ht="14.5" customHeight="1">
      <c r="A30" s="116">
        <v>27</v>
      </c>
      <c r="B30" s="117" t="s">
        <v>46</v>
      </c>
      <c r="C30" s="117" t="s">
        <v>20</v>
      </c>
      <c r="D30" s="118">
        <v>2513200128</v>
      </c>
      <c r="E30" s="119">
        <v>76.5</v>
      </c>
      <c r="F30" s="120">
        <v>30</v>
      </c>
      <c r="G30" s="120">
        <f t="shared" si="0"/>
        <v>30</v>
      </c>
      <c r="H30" s="120">
        <v>66</v>
      </c>
      <c r="I30" s="120">
        <v>31</v>
      </c>
      <c r="J30" s="120">
        <f t="shared" si="1"/>
        <v>31</v>
      </c>
      <c r="K30" s="133">
        <v>79.428571428571402</v>
      </c>
      <c r="L30" s="133">
        <v>19</v>
      </c>
      <c r="M30" s="133">
        <f t="shared" si="2"/>
        <v>19</v>
      </c>
      <c r="N30" s="133">
        <v>70.125</v>
      </c>
      <c r="O30" s="133">
        <v>23</v>
      </c>
      <c r="P30" s="133">
        <f t="shared" si="3"/>
        <v>23</v>
      </c>
      <c r="Q30" s="144">
        <f t="shared" si="4"/>
        <v>155.92857142857099</v>
      </c>
      <c r="R30" s="145">
        <v>23</v>
      </c>
      <c r="S30" s="145">
        <f t="shared" si="5"/>
        <v>23</v>
      </c>
      <c r="T30" s="144">
        <f t="shared" si="6"/>
        <v>136.125</v>
      </c>
      <c r="U30" s="145">
        <v>26</v>
      </c>
      <c r="V30" s="145">
        <f t="shared" si="7"/>
        <v>26</v>
      </c>
      <c r="W30" s="146">
        <v>79.177777777777806</v>
      </c>
      <c r="X30" s="147">
        <v>33</v>
      </c>
      <c r="Y30" s="147">
        <f t="shared" si="8"/>
        <v>33</v>
      </c>
      <c r="Z30" s="146">
        <v>69.224444444444401</v>
      </c>
      <c r="AA30" s="147">
        <v>32</v>
      </c>
      <c r="AB30" s="155">
        <f t="shared" si="9"/>
        <v>32</v>
      </c>
    </row>
    <row r="31" spans="1:28" ht="14.5" customHeight="1">
      <c r="A31" s="116">
        <v>28</v>
      </c>
      <c r="B31" s="117" t="s">
        <v>47</v>
      </c>
      <c r="C31" s="117" t="s">
        <v>20</v>
      </c>
      <c r="D31" s="118">
        <v>2513200129</v>
      </c>
      <c r="E31" s="119">
        <v>86.25</v>
      </c>
      <c r="F31" s="120">
        <v>2</v>
      </c>
      <c r="G31" s="120">
        <f t="shared" si="0"/>
        <v>2</v>
      </c>
      <c r="H31" s="120">
        <v>77.275000000000006</v>
      </c>
      <c r="I31" s="120">
        <v>6</v>
      </c>
      <c r="J31" s="120">
        <f t="shared" si="1"/>
        <v>6</v>
      </c>
      <c r="K31" s="133">
        <v>85.642857142857096</v>
      </c>
      <c r="L31" s="133">
        <v>3</v>
      </c>
      <c r="M31" s="133">
        <f t="shared" si="2"/>
        <v>3</v>
      </c>
      <c r="N31" s="133">
        <v>78.424999999999997</v>
      </c>
      <c r="O31" s="133">
        <v>9</v>
      </c>
      <c r="P31" s="133">
        <f t="shared" si="3"/>
        <v>9</v>
      </c>
      <c r="Q31" s="144">
        <f t="shared" si="4"/>
        <v>171.892857142857</v>
      </c>
      <c r="R31" s="145">
        <v>1</v>
      </c>
      <c r="S31" s="145">
        <f t="shared" si="5"/>
        <v>1</v>
      </c>
      <c r="T31" s="144">
        <f t="shared" si="6"/>
        <v>155.69999999999999</v>
      </c>
      <c r="U31" s="145">
        <v>5</v>
      </c>
      <c r="V31" s="145">
        <f t="shared" si="7"/>
        <v>5</v>
      </c>
      <c r="W31" s="146">
        <v>83.211111111111094</v>
      </c>
      <c r="X31" s="147">
        <v>18</v>
      </c>
      <c r="Y31" s="147">
        <f t="shared" si="8"/>
        <v>18</v>
      </c>
      <c r="Z31" s="146">
        <v>77.047777777777796</v>
      </c>
      <c r="AA31" s="147">
        <v>12</v>
      </c>
      <c r="AB31" s="155">
        <f t="shared" si="9"/>
        <v>12</v>
      </c>
    </row>
    <row r="32" spans="1:28" ht="14.5" customHeight="1">
      <c r="A32" s="116">
        <v>29</v>
      </c>
      <c r="B32" s="117" t="s">
        <v>48</v>
      </c>
      <c r="C32" s="117" t="s">
        <v>20</v>
      </c>
      <c r="D32" s="118">
        <v>2513200130</v>
      </c>
      <c r="E32" s="119">
        <v>80.5</v>
      </c>
      <c r="F32" s="120">
        <v>19</v>
      </c>
      <c r="G32" s="120">
        <f t="shared" si="0"/>
        <v>19</v>
      </c>
      <c r="H32" s="120">
        <v>71.900000000000006</v>
      </c>
      <c r="I32" s="120">
        <v>13</v>
      </c>
      <c r="J32" s="120">
        <f t="shared" si="1"/>
        <v>13</v>
      </c>
      <c r="K32" s="133">
        <v>77.5</v>
      </c>
      <c r="L32" s="133">
        <v>26</v>
      </c>
      <c r="M32" s="133">
        <f t="shared" si="2"/>
        <v>26</v>
      </c>
      <c r="N32" s="133">
        <v>67.3</v>
      </c>
      <c r="O32" s="133">
        <v>28</v>
      </c>
      <c r="P32" s="133">
        <f t="shared" si="3"/>
        <v>28</v>
      </c>
      <c r="Q32" s="144">
        <f t="shared" si="4"/>
        <v>158</v>
      </c>
      <c r="R32" s="145">
        <v>19</v>
      </c>
      <c r="S32" s="145">
        <f t="shared" si="5"/>
        <v>19</v>
      </c>
      <c r="T32" s="144">
        <f t="shared" si="6"/>
        <v>139.19999999999999</v>
      </c>
      <c r="U32" s="145">
        <v>20</v>
      </c>
      <c r="V32" s="145">
        <f t="shared" si="7"/>
        <v>20</v>
      </c>
      <c r="W32" s="146">
        <v>78.822222222222194</v>
      </c>
      <c r="X32" s="147">
        <v>34</v>
      </c>
      <c r="Y32" s="147">
        <f t="shared" si="8"/>
        <v>34</v>
      </c>
      <c r="Z32" s="146">
        <v>68.375555555555593</v>
      </c>
      <c r="AA32" s="147">
        <v>37</v>
      </c>
      <c r="AB32" s="155">
        <f t="shared" si="9"/>
        <v>37</v>
      </c>
    </row>
    <row r="33" spans="1:28" ht="14.5" customHeight="1">
      <c r="A33" s="116">
        <v>30</v>
      </c>
      <c r="B33" s="117" t="s">
        <v>49</v>
      </c>
      <c r="C33" s="117" t="s">
        <v>20</v>
      </c>
      <c r="D33" s="118">
        <v>2513200131</v>
      </c>
      <c r="E33" s="119">
        <v>78.25</v>
      </c>
      <c r="F33" s="120">
        <v>22</v>
      </c>
      <c r="G33" s="120">
        <f t="shared" si="0"/>
        <v>22</v>
      </c>
      <c r="H33" s="120">
        <v>67.625</v>
      </c>
      <c r="I33" s="120">
        <v>24</v>
      </c>
      <c r="J33" s="120">
        <f t="shared" si="1"/>
        <v>24</v>
      </c>
      <c r="K33" s="133">
        <v>78.428571428571402</v>
      </c>
      <c r="L33" s="133">
        <v>21</v>
      </c>
      <c r="M33" s="133">
        <f t="shared" si="2"/>
        <v>21</v>
      </c>
      <c r="N33" s="133">
        <v>70.625</v>
      </c>
      <c r="O33" s="133">
        <v>22</v>
      </c>
      <c r="P33" s="133">
        <f t="shared" si="3"/>
        <v>22</v>
      </c>
      <c r="Q33" s="144">
        <f t="shared" si="4"/>
        <v>156.67857142857099</v>
      </c>
      <c r="R33" s="145">
        <v>22</v>
      </c>
      <c r="S33" s="145">
        <f t="shared" si="5"/>
        <v>22</v>
      </c>
      <c r="T33" s="144">
        <f t="shared" si="6"/>
        <v>138.25</v>
      </c>
      <c r="U33" s="145">
        <v>23</v>
      </c>
      <c r="V33" s="145">
        <f t="shared" si="7"/>
        <v>23</v>
      </c>
      <c r="W33" s="146">
        <v>80.566666666666706</v>
      </c>
      <c r="X33" s="147">
        <v>27</v>
      </c>
      <c r="Y33" s="147">
        <f t="shared" si="8"/>
        <v>27</v>
      </c>
      <c r="Z33" s="146">
        <v>69.121666666666698</v>
      </c>
      <c r="AA33" s="147">
        <v>33</v>
      </c>
      <c r="AB33" s="155">
        <f t="shared" si="9"/>
        <v>33</v>
      </c>
    </row>
    <row r="34" spans="1:28" ht="14.5" customHeight="1">
      <c r="A34" s="116">
        <v>31</v>
      </c>
      <c r="B34" s="117" t="s">
        <v>50</v>
      </c>
      <c r="C34" s="117" t="s">
        <v>20</v>
      </c>
      <c r="D34" s="118">
        <v>2513200132</v>
      </c>
      <c r="E34" s="119">
        <v>87.25</v>
      </c>
      <c r="F34" s="120">
        <v>1</v>
      </c>
      <c r="G34" s="120">
        <f t="shared" si="0"/>
        <v>1</v>
      </c>
      <c r="H34" s="120">
        <v>80.575000000000003</v>
      </c>
      <c r="I34" s="120">
        <v>2</v>
      </c>
      <c r="J34" s="120">
        <f t="shared" si="1"/>
        <v>2</v>
      </c>
      <c r="K34" s="133">
        <v>82.642857142857096</v>
      </c>
      <c r="L34" s="133">
        <v>9</v>
      </c>
      <c r="M34" s="133">
        <f t="shared" si="2"/>
        <v>9</v>
      </c>
      <c r="N34" s="133">
        <v>85.775000000000006</v>
      </c>
      <c r="O34" s="133">
        <v>2</v>
      </c>
      <c r="P34" s="133">
        <f t="shared" si="3"/>
        <v>2</v>
      </c>
      <c r="Q34" s="144">
        <f t="shared" si="4"/>
        <v>169.892857142857</v>
      </c>
      <c r="R34" s="145">
        <v>4</v>
      </c>
      <c r="S34" s="145">
        <f t="shared" si="5"/>
        <v>4</v>
      </c>
      <c r="T34" s="144">
        <f t="shared" si="6"/>
        <v>166.35</v>
      </c>
      <c r="U34" s="145">
        <v>2</v>
      </c>
      <c r="V34" s="145">
        <f t="shared" si="7"/>
        <v>2</v>
      </c>
      <c r="W34" s="146">
        <v>88.511111111111106</v>
      </c>
      <c r="X34" s="147">
        <v>3</v>
      </c>
      <c r="Y34" s="147">
        <f t="shared" si="8"/>
        <v>3</v>
      </c>
      <c r="Z34" s="146">
        <v>87.257777777777804</v>
      </c>
      <c r="AA34" s="147">
        <v>3</v>
      </c>
      <c r="AB34" s="155">
        <f t="shared" si="9"/>
        <v>3</v>
      </c>
    </row>
    <row r="35" spans="1:28" ht="14.5" customHeight="1">
      <c r="A35" s="116">
        <v>32</v>
      </c>
      <c r="B35" s="117" t="s">
        <v>51</v>
      </c>
      <c r="C35" s="117" t="s">
        <v>20</v>
      </c>
      <c r="D35" s="118">
        <v>2513200133</v>
      </c>
      <c r="E35" s="119">
        <v>81</v>
      </c>
      <c r="F35" s="120">
        <v>15</v>
      </c>
      <c r="G35" s="120">
        <f t="shared" si="0"/>
        <v>15</v>
      </c>
      <c r="H35" s="120">
        <v>70.099999999999994</v>
      </c>
      <c r="I35" s="120">
        <v>19</v>
      </c>
      <c r="J35" s="120">
        <f t="shared" si="1"/>
        <v>19</v>
      </c>
      <c r="K35" s="133">
        <v>79.357142857142904</v>
      </c>
      <c r="L35" s="133">
        <v>20</v>
      </c>
      <c r="M35" s="133">
        <f t="shared" si="2"/>
        <v>20</v>
      </c>
      <c r="N35" s="133">
        <v>70.75</v>
      </c>
      <c r="O35" s="133">
        <v>21</v>
      </c>
      <c r="P35" s="133">
        <f t="shared" si="3"/>
        <v>21</v>
      </c>
      <c r="Q35" s="144">
        <f t="shared" si="4"/>
        <v>160.357142857143</v>
      </c>
      <c r="R35" s="145">
        <v>16</v>
      </c>
      <c r="S35" s="145">
        <f t="shared" si="5"/>
        <v>16</v>
      </c>
      <c r="T35" s="144">
        <f t="shared" si="6"/>
        <v>140.85</v>
      </c>
      <c r="U35" s="145">
        <v>17</v>
      </c>
      <c r="V35" s="145">
        <f t="shared" si="7"/>
        <v>17</v>
      </c>
      <c r="W35" s="146">
        <v>83.288888888888906</v>
      </c>
      <c r="X35" s="147">
        <v>17</v>
      </c>
      <c r="Y35" s="147">
        <f t="shared" si="8"/>
        <v>17</v>
      </c>
      <c r="Z35" s="146">
        <v>73.052222222222198</v>
      </c>
      <c r="AA35" s="147">
        <v>20</v>
      </c>
      <c r="AB35" s="155">
        <f t="shared" si="9"/>
        <v>20</v>
      </c>
    </row>
    <row r="36" spans="1:28" ht="14.5" customHeight="1">
      <c r="A36" s="116">
        <v>33</v>
      </c>
      <c r="B36" s="117" t="s">
        <v>52</v>
      </c>
      <c r="C36" s="117" t="s">
        <v>20</v>
      </c>
      <c r="D36" s="118">
        <v>2513200134</v>
      </c>
      <c r="E36" s="119">
        <v>79</v>
      </c>
      <c r="F36" s="120">
        <v>21</v>
      </c>
      <c r="G36" s="120">
        <f t="shared" si="0"/>
        <v>21</v>
      </c>
      <c r="H36" s="120">
        <v>72.900000000000006</v>
      </c>
      <c r="I36" s="120">
        <v>12</v>
      </c>
      <c r="J36" s="120">
        <f t="shared" si="1"/>
        <v>12</v>
      </c>
      <c r="K36" s="133">
        <v>78.357142857142904</v>
      </c>
      <c r="L36" s="133">
        <v>23</v>
      </c>
      <c r="M36" s="133">
        <f t="shared" si="2"/>
        <v>23</v>
      </c>
      <c r="N36" s="133">
        <v>73.875</v>
      </c>
      <c r="O36" s="133">
        <v>12</v>
      </c>
      <c r="P36" s="133">
        <f t="shared" si="3"/>
        <v>12</v>
      </c>
      <c r="Q36" s="144">
        <f t="shared" si="4"/>
        <v>157.357142857143</v>
      </c>
      <c r="R36" s="145">
        <v>20</v>
      </c>
      <c r="S36" s="145">
        <f t="shared" si="5"/>
        <v>20</v>
      </c>
      <c r="T36" s="144">
        <f t="shared" si="6"/>
        <v>146.77500000000001</v>
      </c>
      <c r="U36" s="145">
        <v>12</v>
      </c>
      <c r="V36" s="145">
        <f t="shared" si="7"/>
        <v>12</v>
      </c>
      <c r="W36" s="146">
        <v>78.022222222222197</v>
      </c>
      <c r="X36" s="147">
        <v>37</v>
      </c>
      <c r="Y36" s="147">
        <f t="shared" si="8"/>
        <v>37</v>
      </c>
      <c r="Z36" s="146">
        <v>69.115555555555602</v>
      </c>
      <c r="AA36" s="147">
        <v>34</v>
      </c>
      <c r="AB36" s="155">
        <f t="shared" si="9"/>
        <v>34</v>
      </c>
    </row>
    <row r="37" spans="1:28" ht="14.5" customHeight="1">
      <c r="A37" s="116">
        <v>34</v>
      </c>
      <c r="B37" s="117" t="s">
        <v>53</v>
      </c>
      <c r="C37" s="117" t="s">
        <v>20</v>
      </c>
      <c r="D37" s="118">
        <v>2513200135</v>
      </c>
      <c r="E37" s="119">
        <v>82</v>
      </c>
      <c r="F37" s="120">
        <v>10</v>
      </c>
      <c r="G37" s="120">
        <f t="shared" si="0"/>
        <v>10</v>
      </c>
      <c r="H37" s="120">
        <v>73.75</v>
      </c>
      <c r="I37" s="120">
        <v>11</v>
      </c>
      <c r="J37" s="120">
        <f t="shared" si="1"/>
        <v>11</v>
      </c>
      <c r="K37" s="133">
        <v>82.642857142857096</v>
      </c>
      <c r="L37" s="133">
        <v>9</v>
      </c>
      <c r="M37" s="133">
        <f t="shared" si="2"/>
        <v>9</v>
      </c>
      <c r="N37" s="133">
        <v>80.974999999999994</v>
      </c>
      <c r="O37" s="133">
        <v>5</v>
      </c>
      <c r="P37" s="133">
        <f t="shared" si="3"/>
        <v>5</v>
      </c>
      <c r="Q37" s="144">
        <f t="shared" si="4"/>
        <v>164.642857142857</v>
      </c>
      <c r="R37" s="145">
        <v>10</v>
      </c>
      <c r="S37" s="145">
        <f t="shared" si="5"/>
        <v>10</v>
      </c>
      <c r="T37" s="144">
        <f t="shared" si="6"/>
        <v>154.72499999999999</v>
      </c>
      <c r="U37" s="145">
        <v>6</v>
      </c>
      <c r="V37" s="145">
        <f t="shared" si="7"/>
        <v>6</v>
      </c>
      <c r="W37" s="146">
        <v>86.9</v>
      </c>
      <c r="X37" s="147">
        <v>6</v>
      </c>
      <c r="Y37" s="147">
        <f t="shared" si="8"/>
        <v>6</v>
      </c>
      <c r="Z37" s="146">
        <v>79.605000000000004</v>
      </c>
      <c r="AA37" s="147">
        <v>8</v>
      </c>
      <c r="AB37" s="155">
        <f t="shared" si="9"/>
        <v>8</v>
      </c>
    </row>
    <row r="38" spans="1:28" ht="14.5" customHeight="1">
      <c r="A38" s="116">
        <v>35</v>
      </c>
      <c r="B38" s="117" t="s">
        <v>54</v>
      </c>
      <c r="C38" s="117" t="s">
        <v>20</v>
      </c>
      <c r="D38" s="118">
        <v>2513200136</v>
      </c>
      <c r="E38" s="119">
        <v>76.5</v>
      </c>
      <c r="F38" s="120">
        <v>30</v>
      </c>
      <c r="G38" s="120">
        <f t="shared" si="0"/>
        <v>30</v>
      </c>
      <c r="H38" s="120">
        <v>67.099999999999994</v>
      </c>
      <c r="I38" s="120">
        <v>28</v>
      </c>
      <c r="J38" s="120">
        <f t="shared" si="1"/>
        <v>28</v>
      </c>
      <c r="K38" s="133">
        <v>80.214285714285694</v>
      </c>
      <c r="L38" s="133">
        <v>15</v>
      </c>
      <c r="M38" s="133">
        <f t="shared" si="2"/>
        <v>15</v>
      </c>
      <c r="N38" s="133">
        <v>76.45</v>
      </c>
      <c r="O38" s="133">
        <v>10</v>
      </c>
      <c r="P38" s="133">
        <f t="shared" si="3"/>
        <v>10</v>
      </c>
      <c r="Q38" s="144">
        <f t="shared" si="4"/>
        <v>156.71428571428601</v>
      </c>
      <c r="R38" s="145">
        <v>21</v>
      </c>
      <c r="S38" s="145">
        <f t="shared" si="5"/>
        <v>21</v>
      </c>
      <c r="T38" s="144">
        <f t="shared" si="6"/>
        <v>143.55000000000001</v>
      </c>
      <c r="U38" s="145">
        <v>15</v>
      </c>
      <c r="V38" s="145">
        <f t="shared" si="7"/>
        <v>15</v>
      </c>
      <c r="W38" s="146">
        <v>85.4</v>
      </c>
      <c r="X38" s="147">
        <v>11</v>
      </c>
      <c r="Y38" s="147">
        <f t="shared" si="8"/>
        <v>11</v>
      </c>
      <c r="Z38" s="146">
        <v>79.204999999999998</v>
      </c>
      <c r="AA38" s="147">
        <v>10</v>
      </c>
      <c r="AB38" s="155">
        <f t="shared" si="9"/>
        <v>10</v>
      </c>
    </row>
    <row r="39" spans="1:28" ht="14.5" customHeight="1">
      <c r="A39" s="116">
        <v>36</v>
      </c>
      <c r="B39" s="117" t="s">
        <v>55</v>
      </c>
      <c r="C39" s="117" t="s">
        <v>20</v>
      </c>
      <c r="D39" s="118">
        <v>2513200137</v>
      </c>
      <c r="E39" s="119">
        <v>67</v>
      </c>
      <c r="F39" s="120">
        <v>43</v>
      </c>
      <c r="G39" s="120">
        <f t="shared" si="0"/>
        <v>43</v>
      </c>
      <c r="H39" s="120">
        <v>57.65</v>
      </c>
      <c r="I39" s="120">
        <v>45</v>
      </c>
      <c r="J39" s="120">
        <f t="shared" si="1"/>
        <v>44</v>
      </c>
      <c r="K39" s="133">
        <v>71.428571428571402</v>
      </c>
      <c r="L39" s="133">
        <v>41</v>
      </c>
      <c r="M39" s="133">
        <f t="shared" si="2"/>
        <v>41</v>
      </c>
      <c r="N39" s="133">
        <v>61.325000000000003</v>
      </c>
      <c r="O39" s="133">
        <v>44</v>
      </c>
      <c r="P39" s="133">
        <f t="shared" si="3"/>
        <v>44</v>
      </c>
      <c r="Q39" s="144">
        <f t="shared" si="4"/>
        <v>138.42857142857099</v>
      </c>
      <c r="R39" s="145">
        <v>42</v>
      </c>
      <c r="S39" s="145">
        <f t="shared" si="5"/>
        <v>42</v>
      </c>
      <c r="T39" s="144">
        <f t="shared" si="6"/>
        <v>118.97499999999999</v>
      </c>
      <c r="U39" s="145">
        <v>43</v>
      </c>
      <c r="V39" s="145">
        <f t="shared" si="7"/>
        <v>43</v>
      </c>
      <c r="W39" s="146">
        <v>74.7</v>
      </c>
      <c r="X39" s="147">
        <v>45</v>
      </c>
      <c r="Y39" s="147">
        <f t="shared" si="8"/>
        <v>45</v>
      </c>
      <c r="Z39" s="146">
        <v>63.29</v>
      </c>
      <c r="AA39" s="147">
        <v>45</v>
      </c>
      <c r="AB39" s="155">
        <f t="shared" si="9"/>
        <v>45</v>
      </c>
    </row>
    <row r="40" spans="1:28" ht="14.5" customHeight="1">
      <c r="A40" s="116">
        <v>37</v>
      </c>
      <c r="B40" s="117" t="s">
        <v>56</v>
      </c>
      <c r="C40" s="117" t="s">
        <v>20</v>
      </c>
      <c r="D40" s="118">
        <v>2513200139</v>
      </c>
      <c r="E40" s="119">
        <v>83.5</v>
      </c>
      <c r="F40" s="120">
        <v>6</v>
      </c>
      <c r="G40" s="120">
        <f t="shared" si="0"/>
        <v>6</v>
      </c>
      <c r="H40" s="120">
        <v>79.7</v>
      </c>
      <c r="I40" s="120">
        <v>3</v>
      </c>
      <c r="J40" s="120">
        <f t="shared" si="1"/>
        <v>3</v>
      </c>
      <c r="K40" s="133">
        <v>87.142857142857096</v>
      </c>
      <c r="L40" s="133">
        <v>1</v>
      </c>
      <c r="M40" s="133">
        <f t="shared" si="2"/>
        <v>1</v>
      </c>
      <c r="N40" s="133">
        <v>86.525000000000006</v>
      </c>
      <c r="O40" s="133">
        <v>1</v>
      </c>
      <c r="P40" s="133">
        <f t="shared" si="3"/>
        <v>1</v>
      </c>
      <c r="Q40" s="144">
        <f t="shared" si="4"/>
        <v>170.642857142857</v>
      </c>
      <c r="R40" s="145">
        <v>2</v>
      </c>
      <c r="S40" s="145">
        <f t="shared" si="5"/>
        <v>2</v>
      </c>
      <c r="T40" s="144">
        <f t="shared" si="6"/>
        <v>166.22499999999999</v>
      </c>
      <c r="U40" s="145">
        <v>3</v>
      </c>
      <c r="V40" s="145">
        <f t="shared" si="7"/>
        <v>3</v>
      </c>
      <c r="W40" s="146">
        <v>89.5</v>
      </c>
      <c r="X40" s="147">
        <v>1</v>
      </c>
      <c r="Y40" s="147">
        <f t="shared" si="8"/>
        <v>1</v>
      </c>
      <c r="Z40" s="146">
        <v>90.1</v>
      </c>
      <c r="AA40" s="147">
        <v>1</v>
      </c>
      <c r="AB40" s="155">
        <f t="shared" si="9"/>
        <v>1</v>
      </c>
    </row>
    <row r="41" spans="1:28" ht="14.5" customHeight="1">
      <c r="A41" s="116">
        <v>38</v>
      </c>
      <c r="B41" s="117" t="s">
        <v>57</v>
      </c>
      <c r="C41" s="117" t="s">
        <v>20</v>
      </c>
      <c r="D41" s="118">
        <v>2513200140</v>
      </c>
      <c r="E41" s="119">
        <v>67.25</v>
      </c>
      <c r="F41" s="120">
        <v>41</v>
      </c>
      <c r="G41" s="120">
        <f t="shared" si="0"/>
        <v>41</v>
      </c>
      <c r="H41" s="120">
        <v>58.674999999999997</v>
      </c>
      <c r="I41" s="120">
        <v>43</v>
      </c>
      <c r="J41" s="120">
        <f t="shared" si="1"/>
        <v>42</v>
      </c>
      <c r="K41" s="133">
        <v>74.071428571428598</v>
      </c>
      <c r="L41" s="133">
        <v>32</v>
      </c>
      <c r="M41" s="133">
        <f t="shared" si="2"/>
        <v>32</v>
      </c>
      <c r="N41" s="133">
        <v>68.5</v>
      </c>
      <c r="O41" s="133">
        <v>26</v>
      </c>
      <c r="P41" s="133">
        <f t="shared" si="3"/>
        <v>26</v>
      </c>
      <c r="Q41" s="144">
        <f t="shared" si="4"/>
        <v>141.32142857142901</v>
      </c>
      <c r="R41" s="145">
        <v>39</v>
      </c>
      <c r="S41" s="145">
        <f t="shared" si="5"/>
        <v>39</v>
      </c>
      <c r="T41" s="144">
        <f t="shared" si="6"/>
        <v>127.175</v>
      </c>
      <c r="U41" s="145">
        <v>38</v>
      </c>
      <c r="V41" s="145">
        <f t="shared" si="7"/>
        <v>38</v>
      </c>
      <c r="W41" s="146">
        <v>82.622222222222206</v>
      </c>
      <c r="X41" s="147">
        <v>22</v>
      </c>
      <c r="Y41" s="147">
        <f t="shared" si="8"/>
        <v>22</v>
      </c>
      <c r="Z41" s="146">
        <v>71.535555555555604</v>
      </c>
      <c r="AA41" s="147">
        <v>24</v>
      </c>
      <c r="AB41" s="155">
        <f t="shared" si="9"/>
        <v>24</v>
      </c>
    </row>
    <row r="42" spans="1:28" ht="14.5" customHeight="1">
      <c r="A42" s="116">
        <v>39</v>
      </c>
      <c r="B42" s="117" t="s">
        <v>58</v>
      </c>
      <c r="C42" s="117" t="s">
        <v>20</v>
      </c>
      <c r="D42" s="118">
        <v>2513200141</v>
      </c>
      <c r="E42" s="119">
        <v>86</v>
      </c>
      <c r="F42" s="120">
        <v>3</v>
      </c>
      <c r="G42" s="120">
        <f t="shared" si="0"/>
        <v>3</v>
      </c>
      <c r="H42" s="120">
        <v>76.55</v>
      </c>
      <c r="I42" s="120">
        <v>7</v>
      </c>
      <c r="J42" s="120">
        <f t="shared" si="1"/>
        <v>7</v>
      </c>
      <c r="K42" s="133">
        <v>82.428571428571402</v>
      </c>
      <c r="L42" s="133">
        <v>12</v>
      </c>
      <c r="M42" s="133">
        <f t="shared" si="2"/>
        <v>12</v>
      </c>
      <c r="N42" s="133">
        <v>72.349999999999994</v>
      </c>
      <c r="O42" s="133">
        <v>15</v>
      </c>
      <c r="P42" s="133">
        <f t="shared" si="3"/>
        <v>15</v>
      </c>
      <c r="Q42" s="144">
        <f t="shared" si="4"/>
        <v>168.42857142857099</v>
      </c>
      <c r="R42" s="145">
        <v>6</v>
      </c>
      <c r="S42" s="145">
        <f t="shared" si="5"/>
        <v>6</v>
      </c>
      <c r="T42" s="144">
        <f t="shared" si="6"/>
        <v>148.9</v>
      </c>
      <c r="U42" s="145">
        <v>11</v>
      </c>
      <c r="V42" s="145">
        <f t="shared" si="7"/>
        <v>11</v>
      </c>
      <c r="W42" s="146">
        <v>79.344444444444406</v>
      </c>
      <c r="X42" s="147">
        <v>31</v>
      </c>
      <c r="Y42" s="147">
        <f t="shared" si="8"/>
        <v>31</v>
      </c>
      <c r="Z42" s="146">
        <v>70.116111111111096</v>
      </c>
      <c r="AA42" s="147">
        <v>29</v>
      </c>
      <c r="AB42" s="155">
        <f t="shared" si="9"/>
        <v>29</v>
      </c>
    </row>
    <row r="43" spans="1:28" ht="14.5" customHeight="1">
      <c r="A43" s="116">
        <v>40</v>
      </c>
      <c r="B43" s="117" t="s">
        <v>59</v>
      </c>
      <c r="C43" s="117" t="s">
        <v>20</v>
      </c>
      <c r="D43" s="118">
        <v>2513200142</v>
      </c>
      <c r="E43" s="119">
        <v>76.25</v>
      </c>
      <c r="F43" s="120">
        <v>32</v>
      </c>
      <c r="G43" s="120">
        <f t="shared" si="0"/>
        <v>32</v>
      </c>
      <c r="H43" s="120">
        <v>67.575000000000003</v>
      </c>
      <c r="I43" s="120">
        <v>26</v>
      </c>
      <c r="J43" s="120">
        <f t="shared" si="1"/>
        <v>26</v>
      </c>
      <c r="K43" s="133">
        <v>78.357142857142904</v>
      </c>
      <c r="L43" s="133">
        <v>23</v>
      </c>
      <c r="M43" s="133">
        <f t="shared" si="2"/>
        <v>23</v>
      </c>
      <c r="N43" s="133">
        <v>71.25</v>
      </c>
      <c r="O43" s="133">
        <v>19</v>
      </c>
      <c r="P43" s="133">
        <f t="shared" si="3"/>
        <v>19</v>
      </c>
      <c r="Q43" s="144">
        <f t="shared" si="4"/>
        <v>154.607142857143</v>
      </c>
      <c r="R43" s="145">
        <v>28</v>
      </c>
      <c r="S43" s="145">
        <f t="shared" si="5"/>
        <v>28</v>
      </c>
      <c r="T43" s="144">
        <f t="shared" si="6"/>
        <v>138.82499999999999</v>
      </c>
      <c r="U43" s="145">
        <v>21</v>
      </c>
      <c r="V43" s="145">
        <f t="shared" si="7"/>
        <v>21</v>
      </c>
      <c r="W43" s="146">
        <v>81.844444444444406</v>
      </c>
      <c r="X43" s="147">
        <v>25</v>
      </c>
      <c r="Y43" s="147">
        <f t="shared" si="8"/>
        <v>25</v>
      </c>
      <c r="Z43" s="146">
        <v>72.291111111111107</v>
      </c>
      <c r="AA43" s="147">
        <v>22</v>
      </c>
      <c r="AB43" s="155">
        <f t="shared" si="9"/>
        <v>22</v>
      </c>
    </row>
    <row r="44" spans="1:28" ht="14.5" customHeight="1">
      <c r="A44" s="116">
        <v>41</v>
      </c>
      <c r="B44" s="117" t="s">
        <v>60</v>
      </c>
      <c r="C44" s="117" t="s">
        <v>20</v>
      </c>
      <c r="D44" s="118">
        <v>2513200143</v>
      </c>
      <c r="E44" s="119">
        <v>80.75</v>
      </c>
      <c r="F44" s="120">
        <v>17</v>
      </c>
      <c r="G44" s="120">
        <f t="shared" si="0"/>
        <v>17</v>
      </c>
      <c r="H44" s="120">
        <v>70.375</v>
      </c>
      <c r="I44" s="120">
        <v>18</v>
      </c>
      <c r="J44" s="120">
        <f t="shared" si="1"/>
        <v>18</v>
      </c>
      <c r="K44" s="133">
        <v>82.5</v>
      </c>
      <c r="L44" s="133">
        <v>11</v>
      </c>
      <c r="M44" s="133">
        <f t="shared" si="2"/>
        <v>11</v>
      </c>
      <c r="N44" s="133">
        <v>73.3</v>
      </c>
      <c r="O44" s="133">
        <v>13</v>
      </c>
      <c r="P44" s="133">
        <f t="shared" si="3"/>
        <v>13</v>
      </c>
      <c r="Q44" s="144">
        <f t="shared" si="4"/>
        <v>163.25</v>
      </c>
      <c r="R44" s="145">
        <v>11</v>
      </c>
      <c r="S44" s="145">
        <f t="shared" si="5"/>
        <v>11</v>
      </c>
      <c r="T44" s="144">
        <f t="shared" si="6"/>
        <v>143.67500000000001</v>
      </c>
      <c r="U44" s="145">
        <v>14</v>
      </c>
      <c r="V44" s="145">
        <f t="shared" si="7"/>
        <v>14</v>
      </c>
      <c r="W44" s="146">
        <v>79.788888888888906</v>
      </c>
      <c r="X44" s="147">
        <v>29</v>
      </c>
      <c r="Y44" s="147">
        <f t="shared" si="8"/>
        <v>29</v>
      </c>
      <c r="Z44" s="146">
        <v>69.902222222222207</v>
      </c>
      <c r="AA44" s="147">
        <v>30</v>
      </c>
      <c r="AB44" s="155">
        <f t="shared" si="9"/>
        <v>30</v>
      </c>
    </row>
    <row r="45" spans="1:28" ht="15.65" customHeight="1">
      <c r="A45" s="116">
        <v>42</v>
      </c>
      <c r="B45" s="117" t="s">
        <v>61</v>
      </c>
      <c r="C45" s="117" t="s">
        <v>20</v>
      </c>
      <c r="D45" s="122">
        <v>2513200144</v>
      </c>
      <c r="E45" s="119">
        <v>83</v>
      </c>
      <c r="F45" s="120">
        <v>7</v>
      </c>
      <c r="G45" s="120">
        <f t="shared" si="0"/>
        <v>7</v>
      </c>
      <c r="H45" s="120">
        <v>70</v>
      </c>
      <c r="I45" s="120">
        <v>20</v>
      </c>
      <c r="J45" s="120">
        <f t="shared" si="1"/>
        <v>20</v>
      </c>
      <c r="K45" s="133">
        <v>71.571428571428598</v>
      </c>
      <c r="L45" s="133">
        <v>38</v>
      </c>
      <c r="M45" s="133">
        <f t="shared" si="2"/>
        <v>38</v>
      </c>
      <c r="N45" s="133">
        <v>62.774999999999999</v>
      </c>
      <c r="O45" s="133">
        <v>39</v>
      </c>
      <c r="P45" s="133">
        <f t="shared" si="3"/>
        <v>39</v>
      </c>
      <c r="Q45" s="144">
        <f t="shared" si="4"/>
        <v>154.57142857142901</v>
      </c>
      <c r="R45" s="145">
        <v>29</v>
      </c>
      <c r="S45" s="145">
        <f t="shared" si="5"/>
        <v>29</v>
      </c>
      <c r="T45" s="144">
        <f t="shared" si="6"/>
        <v>132.77500000000001</v>
      </c>
      <c r="U45" s="145">
        <v>32</v>
      </c>
      <c r="V45" s="145">
        <f t="shared" si="7"/>
        <v>32</v>
      </c>
      <c r="W45" s="146">
        <v>87.544444444444395</v>
      </c>
      <c r="X45" s="147">
        <v>4</v>
      </c>
      <c r="Y45" s="147">
        <f t="shared" si="8"/>
        <v>4</v>
      </c>
      <c r="Z45" s="146">
        <v>79.931111111111093</v>
      </c>
      <c r="AA45" s="147">
        <v>7</v>
      </c>
      <c r="AB45" s="155">
        <f t="shared" si="9"/>
        <v>7</v>
      </c>
    </row>
    <row r="46" spans="1:28" ht="15.65" customHeight="1">
      <c r="A46" s="116">
        <v>43</v>
      </c>
      <c r="B46" s="117" t="s">
        <v>62</v>
      </c>
      <c r="C46" s="117" t="s">
        <v>20</v>
      </c>
      <c r="D46" s="122">
        <v>2513200145</v>
      </c>
      <c r="E46" s="119">
        <v>77.75</v>
      </c>
      <c r="F46" s="120">
        <v>26</v>
      </c>
      <c r="G46" s="120">
        <f t="shared" si="0"/>
        <v>26</v>
      </c>
      <c r="H46" s="120">
        <v>68.674999999999997</v>
      </c>
      <c r="I46" s="120">
        <v>23</v>
      </c>
      <c r="J46" s="120">
        <f t="shared" si="1"/>
        <v>23</v>
      </c>
      <c r="K46" s="133">
        <v>77.5</v>
      </c>
      <c r="L46" s="133">
        <v>26</v>
      </c>
      <c r="M46" s="133">
        <f t="shared" si="2"/>
        <v>26</v>
      </c>
      <c r="N46" s="133">
        <v>66.375</v>
      </c>
      <c r="O46" s="133">
        <v>33</v>
      </c>
      <c r="P46" s="133">
        <f t="shared" si="3"/>
        <v>33</v>
      </c>
      <c r="Q46" s="144">
        <f t="shared" si="4"/>
        <v>155.25</v>
      </c>
      <c r="R46" s="145">
        <v>27</v>
      </c>
      <c r="S46" s="145">
        <f t="shared" si="5"/>
        <v>27</v>
      </c>
      <c r="T46" s="144">
        <f t="shared" si="6"/>
        <v>135.05000000000001</v>
      </c>
      <c r="U46" s="145">
        <v>27</v>
      </c>
      <c r="V46" s="145">
        <f t="shared" si="7"/>
        <v>27</v>
      </c>
      <c r="W46" s="146">
        <v>78.811111111111103</v>
      </c>
      <c r="X46" s="147">
        <v>35</v>
      </c>
      <c r="Y46" s="147">
        <f t="shared" si="8"/>
        <v>35</v>
      </c>
      <c r="Z46" s="146">
        <v>69.0427777777778</v>
      </c>
      <c r="AA46" s="147">
        <v>35</v>
      </c>
      <c r="AB46" s="155">
        <f t="shared" si="9"/>
        <v>35</v>
      </c>
    </row>
    <row r="47" spans="1:28" ht="15.65" customHeight="1">
      <c r="A47" s="116">
        <v>44</v>
      </c>
      <c r="B47" s="117" t="s">
        <v>63</v>
      </c>
      <c r="C47" s="117" t="s">
        <v>20</v>
      </c>
      <c r="D47" s="122">
        <v>2605200111</v>
      </c>
      <c r="E47" s="174" t="s">
        <v>64</v>
      </c>
      <c r="F47" s="174"/>
      <c r="G47" s="174"/>
      <c r="H47" s="174"/>
      <c r="I47" s="174"/>
      <c r="J47" s="175"/>
      <c r="K47" s="133">
        <v>74.714285714285694</v>
      </c>
      <c r="L47" s="133">
        <v>31</v>
      </c>
      <c r="M47" s="133">
        <f t="shared" si="2"/>
        <v>31</v>
      </c>
      <c r="N47" s="133">
        <v>66.224999999999994</v>
      </c>
      <c r="O47" s="133">
        <v>35</v>
      </c>
      <c r="P47" s="133">
        <f t="shared" si="3"/>
        <v>35</v>
      </c>
      <c r="Q47" s="178" t="s">
        <v>64</v>
      </c>
      <c r="R47" s="179"/>
      <c r="S47" s="179"/>
      <c r="T47" s="179"/>
      <c r="U47" s="179"/>
      <c r="V47" s="180"/>
      <c r="W47" s="146">
        <v>76.955555555555605</v>
      </c>
      <c r="X47" s="147">
        <v>40</v>
      </c>
      <c r="Y47" s="147">
        <f t="shared" si="8"/>
        <v>40</v>
      </c>
      <c r="Z47" s="146">
        <v>68.268888888888895</v>
      </c>
      <c r="AA47" s="147">
        <v>38</v>
      </c>
      <c r="AB47" s="155">
        <f t="shared" si="9"/>
        <v>38</v>
      </c>
    </row>
    <row r="48" spans="1:28" ht="15.65" customHeight="1">
      <c r="A48" s="116">
        <v>45</v>
      </c>
      <c r="B48" s="117" t="s">
        <v>65</v>
      </c>
      <c r="C48" s="117" t="s">
        <v>20</v>
      </c>
      <c r="D48" s="122">
        <v>2605200144</v>
      </c>
      <c r="E48" s="176"/>
      <c r="F48" s="176"/>
      <c r="G48" s="176"/>
      <c r="H48" s="176"/>
      <c r="I48" s="176"/>
      <c r="J48" s="177"/>
      <c r="K48" s="133">
        <v>71.5</v>
      </c>
      <c r="L48" s="133">
        <v>40</v>
      </c>
      <c r="M48" s="133">
        <f t="shared" si="2"/>
        <v>40</v>
      </c>
      <c r="N48" s="133">
        <v>62.075000000000003</v>
      </c>
      <c r="O48" s="133">
        <v>41</v>
      </c>
      <c r="P48" s="133">
        <f t="shared" si="3"/>
        <v>41</v>
      </c>
      <c r="Q48" s="181"/>
      <c r="R48" s="182"/>
      <c r="S48" s="182"/>
      <c r="T48" s="182"/>
      <c r="U48" s="182"/>
      <c r="V48" s="183"/>
      <c r="W48" s="146">
        <v>72.911111111111097</v>
      </c>
      <c r="X48" s="147">
        <v>46</v>
      </c>
      <c r="Y48" s="147">
        <f t="shared" si="8"/>
        <v>46</v>
      </c>
      <c r="Z48" s="146">
        <v>62.887777777777799</v>
      </c>
      <c r="AA48" s="147">
        <v>46</v>
      </c>
      <c r="AB48" s="155">
        <f t="shared" si="9"/>
        <v>46</v>
      </c>
    </row>
    <row r="49" spans="1:28" ht="16.399999999999999" customHeight="1">
      <c r="A49" s="123">
        <v>46</v>
      </c>
      <c r="B49" s="124" t="s">
        <v>66</v>
      </c>
      <c r="C49" s="124" t="s">
        <v>20</v>
      </c>
      <c r="D49" s="125">
        <v>2811190230</v>
      </c>
      <c r="E49" s="126">
        <v>80</v>
      </c>
      <c r="F49" s="127">
        <v>20</v>
      </c>
      <c r="G49" s="127">
        <f>RANK(E49,E:E,0)</f>
        <v>20</v>
      </c>
      <c r="H49" s="127">
        <v>67.599999999999994</v>
      </c>
      <c r="I49" s="127">
        <v>25</v>
      </c>
      <c r="J49" s="127">
        <f>RANK(H49,H:H,0)</f>
        <v>25</v>
      </c>
      <c r="K49" s="134">
        <v>75.785714285714306</v>
      </c>
      <c r="L49" s="134">
        <v>30</v>
      </c>
      <c r="M49" s="134">
        <f t="shared" si="2"/>
        <v>30</v>
      </c>
      <c r="N49" s="134">
        <v>66.650000000000006</v>
      </c>
      <c r="O49" s="134">
        <v>32</v>
      </c>
      <c r="P49" s="134">
        <f t="shared" si="3"/>
        <v>32</v>
      </c>
      <c r="Q49" s="148">
        <f>E49+K49</f>
        <v>155.78571428571399</v>
      </c>
      <c r="R49" s="149">
        <v>24</v>
      </c>
      <c r="S49" s="149">
        <f>RANK(Q49,Q:Q,0)</f>
        <v>24</v>
      </c>
      <c r="T49" s="148">
        <f>H49+N49</f>
        <v>134.25</v>
      </c>
      <c r="U49" s="149">
        <v>28</v>
      </c>
      <c r="V49" s="149">
        <f>RANK(T49,T:T,0)</f>
        <v>28</v>
      </c>
      <c r="W49" s="150">
        <v>83.077777777777797</v>
      </c>
      <c r="X49" s="151">
        <v>20</v>
      </c>
      <c r="Y49" s="151">
        <f t="shared" si="8"/>
        <v>20</v>
      </c>
      <c r="Z49" s="150">
        <v>74.779444444444394</v>
      </c>
      <c r="AA49" s="151">
        <v>16</v>
      </c>
      <c r="AB49" s="156">
        <f t="shared" si="9"/>
        <v>16</v>
      </c>
    </row>
    <row r="50" spans="1:28" ht="15.25" customHeight="1"/>
  </sheetData>
  <mergeCells count="8">
    <mergeCell ref="E47:J48"/>
    <mergeCell ref="Q47:V48"/>
    <mergeCell ref="A1:AB1"/>
    <mergeCell ref="A2:D2"/>
    <mergeCell ref="E2:J2"/>
    <mergeCell ref="K2:P2"/>
    <mergeCell ref="Q2:V2"/>
    <mergeCell ref="W2:AB2"/>
  </mergeCells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O48"/>
  <sheetViews>
    <sheetView tabSelected="1" topLeftCell="A13" zoomScale="85" zoomScaleNormal="85" workbookViewId="0">
      <pane xSplit="2" topLeftCell="C1" activePane="topRight" state="frozen"/>
      <selection pane="topRight" activeCell="A44" sqref="A44:XFD44"/>
    </sheetView>
  </sheetViews>
  <sheetFormatPr defaultColWidth="8.15234375" defaultRowHeight="14.5" customHeight="1"/>
  <cols>
    <col min="2" max="2" width="9" style="63" customWidth="1"/>
    <col min="3" max="3" width="13.15234375" style="2"/>
    <col min="4" max="13" width="8.84375" style="63" customWidth="1"/>
    <col min="14" max="14" width="13.3046875" style="2" customWidth="1"/>
    <col min="15" max="16" width="18.3046875" style="2" customWidth="1"/>
    <col min="17" max="21" width="13.3046875" style="2" customWidth="1"/>
    <col min="22" max="23" width="11.4609375" style="2" customWidth="1"/>
    <col min="24" max="26" width="8.84375" style="63" customWidth="1"/>
    <col min="27" max="27" width="15.84375" style="2" customWidth="1"/>
    <col min="28" max="28" width="8.84375" style="63" customWidth="1"/>
    <col min="29" max="29" width="10.69140625" style="2" customWidth="1"/>
    <col min="33" max="33" width="9.4609375" style="2" customWidth="1"/>
    <col min="46" max="47" width="13.3046875" style="63" customWidth="1"/>
    <col min="48" max="48" width="18.84375" style="63" customWidth="1"/>
    <col min="49" max="52" width="14" style="2" customWidth="1"/>
    <col min="53" max="53" width="14.4609375" style="2" customWidth="1"/>
    <col min="54" max="55" width="14" style="2" customWidth="1"/>
    <col min="56" max="57" width="14.4609375" style="2" customWidth="1"/>
    <col min="58" max="61" width="11.4609375" style="2" customWidth="1"/>
    <col min="62" max="62" width="12.4609375" style="2" customWidth="1"/>
    <col min="63" max="63" width="12.84375" style="2"/>
    <col min="64" max="64" width="13.4609375" style="63" customWidth="1"/>
    <col min="65" max="65" width="15.4609375" style="63" customWidth="1"/>
    <col min="66" max="66" width="12.84375" style="2"/>
  </cols>
  <sheetData>
    <row r="1" spans="1:67" s="62" customFormat="1" ht="29" customHeight="1">
      <c r="A1" s="184" t="s">
        <v>1</v>
      </c>
      <c r="B1" s="184"/>
      <c r="C1" s="185" t="s">
        <v>67</v>
      </c>
      <c r="D1" s="185"/>
      <c r="E1" s="185"/>
      <c r="F1" s="185"/>
      <c r="G1" s="185"/>
      <c r="H1" s="185"/>
      <c r="I1" s="185"/>
      <c r="J1" s="185"/>
      <c r="K1" s="185"/>
      <c r="L1" s="185"/>
      <c r="M1" s="186" t="s">
        <v>68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7" t="s">
        <v>69</v>
      </c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93"/>
      <c r="AU1" s="188" t="s">
        <v>70</v>
      </c>
      <c r="AV1" s="188"/>
      <c r="AW1" s="188"/>
      <c r="AX1" s="188"/>
      <c r="AY1" s="98"/>
      <c r="AZ1" s="189" t="s">
        <v>71</v>
      </c>
      <c r="BA1" s="190"/>
      <c r="BB1" s="99"/>
      <c r="BC1" s="190" t="s">
        <v>72</v>
      </c>
      <c r="BD1" s="190"/>
      <c r="BE1" s="190"/>
      <c r="BF1" s="190"/>
      <c r="BG1" s="100"/>
      <c r="BH1" s="100"/>
      <c r="BI1" s="191" t="s">
        <v>73</v>
      </c>
      <c r="BJ1" s="192"/>
      <c r="BK1" s="192"/>
      <c r="BL1" s="192"/>
      <c r="BM1" s="192"/>
      <c r="BN1" s="192"/>
      <c r="BO1" s="192"/>
    </row>
    <row r="2" spans="1:67" ht="48" customHeight="1">
      <c r="A2" s="64" t="s">
        <v>6</v>
      </c>
      <c r="B2" s="64" t="s">
        <v>7</v>
      </c>
      <c r="C2" s="65" t="s">
        <v>74</v>
      </c>
      <c r="D2" s="65" t="s">
        <v>75</v>
      </c>
      <c r="E2" s="65" t="s">
        <v>76</v>
      </c>
      <c r="F2" s="65" t="s">
        <v>77</v>
      </c>
      <c r="G2" s="65" t="s">
        <v>78</v>
      </c>
      <c r="H2" s="65" t="s">
        <v>79</v>
      </c>
      <c r="I2" s="65" t="s">
        <v>80</v>
      </c>
      <c r="J2" s="65" t="s">
        <v>81</v>
      </c>
      <c r="K2" s="65" t="s">
        <v>82</v>
      </c>
      <c r="L2" s="67" t="s">
        <v>83</v>
      </c>
      <c r="M2" s="68" t="s">
        <v>84</v>
      </c>
      <c r="N2" s="69" t="s">
        <v>85</v>
      </c>
      <c r="O2" s="69" t="s">
        <v>86</v>
      </c>
      <c r="P2" s="69" t="s">
        <v>87</v>
      </c>
      <c r="Q2" s="69" t="s">
        <v>88</v>
      </c>
      <c r="R2" s="69" t="s">
        <v>89</v>
      </c>
      <c r="S2" s="69" t="s">
        <v>90</v>
      </c>
      <c r="T2" s="69" t="s">
        <v>91</v>
      </c>
      <c r="U2" s="69" t="s">
        <v>92</v>
      </c>
      <c r="V2" s="69" t="s">
        <v>93</v>
      </c>
      <c r="W2" s="69" t="s">
        <v>94</v>
      </c>
      <c r="X2" s="68" t="s">
        <v>95</v>
      </c>
      <c r="Y2" s="68" t="s">
        <v>96</v>
      </c>
      <c r="Z2" s="68" t="s">
        <v>97</v>
      </c>
      <c r="AA2" s="68" t="s">
        <v>98</v>
      </c>
      <c r="AB2" s="68" t="s">
        <v>11</v>
      </c>
      <c r="AC2" s="71" t="s">
        <v>99</v>
      </c>
      <c r="AD2" s="72"/>
      <c r="AE2" s="72" t="s">
        <v>100</v>
      </c>
      <c r="AF2" s="73" t="s">
        <v>101</v>
      </c>
      <c r="AG2" s="83" t="s">
        <v>102</v>
      </c>
      <c r="AH2" s="83" t="s">
        <v>103</v>
      </c>
      <c r="AI2" s="83" t="s">
        <v>104</v>
      </c>
      <c r="AJ2" s="83" t="s">
        <v>105</v>
      </c>
      <c r="AK2" s="83" t="s">
        <v>106</v>
      </c>
      <c r="AL2" s="83" t="s">
        <v>107</v>
      </c>
      <c r="AM2" s="83" t="s">
        <v>108</v>
      </c>
      <c r="AN2" s="83" t="s">
        <v>109</v>
      </c>
      <c r="AO2" s="83" t="s">
        <v>110</v>
      </c>
      <c r="AP2" s="83" t="s">
        <v>111</v>
      </c>
      <c r="AQ2" s="83" t="s">
        <v>112</v>
      </c>
      <c r="AR2" s="73" t="s">
        <v>113</v>
      </c>
      <c r="AS2" s="73" t="s">
        <v>114</v>
      </c>
      <c r="AT2" s="94" t="s">
        <v>74</v>
      </c>
      <c r="AU2" s="95" t="s">
        <v>115</v>
      </c>
      <c r="AV2" s="95" t="s">
        <v>116</v>
      </c>
      <c r="AW2" s="95" t="s">
        <v>117</v>
      </c>
      <c r="AX2" s="95" t="s">
        <v>118</v>
      </c>
      <c r="AY2" s="95" t="s">
        <v>119</v>
      </c>
      <c r="AZ2" s="95" t="s">
        <v>120</v>
      </c>
      <c r="BA2" s="100" t="s">
        <v>121</v>
      </c>
      <c r="BB2" s="100" t="s">
        <v>122</v>
      </c>
      <c r="BC2" s="100" t="s">
        <v>123</v>
      </c>
      <c r="BD2" s="100"/>
      <c r="BE2" s="100" t="s">
        <v>117</v>
      </c>
      <c r="BF2" s="100" t="s">
        <v>118</v>
      </c>
      <c r="BG2" s="100" t="s">
        <v>124</v>
      </c>
      <c r="BH2" s="100" t="s">
        <v>125</v>
      </c>
      <c r="BI2" s="102" t="s">
        <v>7</v>
      </c>
      <c r="BJ2" s="41" t="s">
        <v>9</v>
      </c>
      <c r="BK2" s="41" t="s">
        <v>126</v>
      </c>
      <c r="BL2" s="41" t="s">
        <v>127</v>
      </c>
      <c r="BM2" s="41" t="s">
        <v>128</v>
      </c>
      <c r="BN2" s="41" t="s">
        <v>17</v>
      </c>
      <c r="BO2" s="41" t="s">
        <v>14</v>
      </c>
    </row>
    <row r="3" spans="1:67" ht="14.5" customHeight="1">
      <c r="A3" s="15"/>
      <c r="B3" s="66" t="s">
        <v>129</v>
      </c>
      <c r="C3" s="193" t="s">
        <v>130</v>
      </c>
      <c r="D3" s="53">
        <v>9</v>
      </c>
      <c r="E3" s="53">
        <v>1.7</v>
      </c>
      <c r="F3" s="53">
        <v>0</v>
      </c>
      <c r="G3" s="53">
        <v>3.5</v>
      </c>
      <c r="H3" s="53">
        <v>14.2</v>
      </c>
      <c r="I3" s="53">
        <v>0</v>
      </c>
      <c r="J3" s="53">
        <v>0</v>
      </c>
      <c r="K3" s="53">
        <f t="shared" ref="K3:K44" si="0">SUM(J3,I3)</f>
        <v>0</v>
      </c>
      <c r="L3" s="70">
        <f t="shared" ref="L3:L48" si="1">SUM(H3,K3)</f>
        <v>14.2</v>
      </c>
      <c r="M3" s="195" t="s">
        <v>131</v>
      </c>
      <c r="N3" s="56">
        <v>74.7</v>
      </c>
      <c r="O3" s="56">
        <v>80</v>
      </c>
      <c r="P3" s="56">
        <v>70.900000000000006</v>
      </c>
      <c r="Q3" s="56">
        <v>69</v>
      </c>
      <c r="R3" s="56">
        <v>69.400000000000006</v>
      </c>
      <c r="S3" s="56">
        <v>81.8</v>
      </c>
      <c r="T3" s="56">
        <v>81.3</v>
      </c>
      <c r="U3" s="56">
        <v>100</v>
      </c>
      <c r="V3" s="56">
        <v>82.2</v>
      </c>
      <c r="W3" s="56">
        <v>84.3</v>
      </c>
      <c r="X3" s="56">
        <v>65</v>
      </c>
      <c r="Y3" s="56">
        <v>60</v>
      </c>
      <c r="Z3" s="56">
        <f>(AA3*0.8+AS3*0.2)*0.7</f>
        <v>43.530360655737702</v>
      </c>
      <c r="AA3" s="74">
        <f>(O3*2+P3*2+Q3*4+R3*4+S3*3+T3*3+U3*2+N3*3.5+V3*2+W3*1+X3*3+Y3*1)/(2+4+4+3+3+2+3.5+2+1+3+1+2)</f>
        <v>75.732786885245901</v>
      </c>
      <c r="AB3" s="75"/>
      <c r="AC3" s="76">
        <v>1.5</v>
      </c>
      <c r="AD3" s="76"/>
      <c r="AE3" s="76">
        <v>1.5</v>
      </c>
      <c r="AF3" s="77">
        <v>5</v>
      </c>
      <c r="AG3" s="84"/>
      <c r="AH3" s="85"/>
      <c r="AI3" s="86"/>
      <c r="AJ3" s="87"/>
      <c r="AK3" s="86"/>
      <c r="AL3" s="88"/>
      <c r="AM3" s="88"/>
      <c r="AN3" s="89"/>
      <c r="AO3" s="84"/>
      <c r="AP3" s="84"/>
      <c r="AQ3" s="84"/>
      <c r="AR3" s="89"/>
      <c r="AS3" s="89">
        <f>SUM(AC3,AE3,AF3,AJ3,AG3,AH3,AI3,AD3,AK3)</f>
        <v>8</v>
      </c>
      <c r="AT3" s="197" t="s">
        <v>132</v>
      </c>
      <c r="AU3" s="96">
        <v>1.5</v>
      </c>
      <c r="AV3" s="96">
        <v>1.5</v>
      </c>
      <c r="AW3" s="96">
        <v>1</v>
      </c>
      <c r="AX3" s="96">
        <v>0</v>
      </c>
      <c r="AY3" s="96">
        <f t="shared" ref="AY3:AY48" si="2">AU3+AV3+AW3+AX3</f>
        <v>4</v>
      </c>
      <c r="AZ3" s="96"/>
      <c r="BA3" s="96">
        <v>2</v>
      </c>
      <c r="BB3" s="96">
        <f t="shared" ref="BB3:BB44" si="3">AZ3+BA3</f>
        <v>2</v>
      </c>
      <c r="BC3" s="96">
        <v>1</v>
      </c>
      <c r="BD3" s="96">
        <v>1.5</v>
      </c>
      <c r="BE3" s="96">
        <v>0.8</v>
      </c>
      <c r="BF3" s="96">
        <v>0</v>
      </c>
      <c r="BG3" s="103">
        <f t="shared" ref="BG3:BG48" si="4">BC3+BE3+BF3</f>
        <v>1.8</v>
      </c>
      <c r="BH3" s="103">
        <f t="shared" ref="BH3:BH48" si="5">AU3+AV3+AW3+AX3+AZ3+BA3+BC3+BE3+BF3</f>
        <v>7.8</v>
      </c>
      <c r="BI3" s="66" t="s">
        <v>129</v>
      </c>
      <c r="BJ3" s="97"/>
      <c r="BK3" s="104"/>
      <c r="BL3" s="97"/>
      <c r="BM3" s="97"/>
      <c r="BN3" s="105">
        <f t="shared" ref="BN3:BN19" si="6">BH3+Z3+L3</f>
        <v>65.530360655737695</v>
      </c>
      <c r="BO3" s="97"/>
    </row>
    <row r="4" spans="1:67" ht="15.25" customHeight="1">
      <c r="A4" s="15"/>
      <c r="B4" s="66" t="s">
        <v>133</v>
      </c>
      <c r="C4" s="193"/>
      <c r="D4" s="53">
        <v>9</v>
      </c>
      <c r="E4" s="53">
        <v>1</v>
      </c>
      <c r="F4" s="53">
        <v>0</v>
      </c>
      <c r="G4" s="53">
        <v>3.5</v>
      </c>
      <c r="H4" s="53">
        <f t="shared" ref="H4:H48" si="7">D4+E4+F4+G4</f>
        <v>13.5</v>
      </c>
      <c r="I4" s="53">
        <v>0</v>
      </c>
      <c r="J4" s="53">
        <v>0</v>
      </c>
      <c r="K4" s="53">
        <f t="shared" si="0"/>
        <v>0</v>
      </c>
      <c r="L4" s="70">
        <f t="shared" si="1"/>
        <v>13.5</v>
      </c>
      <c r="M4" s="195"/>
      <c r="N4" s="56">
        <v>81.8</v>
      </c>
      <c r="O4" s="56">
        <v>80</v>
      </c>
      <c r="P4" s="56">
        <v>69.400000000000006</v>
      </c>
      <c r="Q4" s="56">
        <v>76</v>
      </c>
      <c r="R4" s="56">
        <v>78.400000000000006</v>
      </c>
      <c r="S4" s="56">
        <v>71</v>
      </c>
      <c r="T4" s="56">
        <v>75.400000000000006</v>
      </c>
      <c r="U4" s="56">
        <v>100</v>
      </c>
      <c r="V4" s="56">
        <v>83.6</v>
      </c>
      <c r="W4" s="56">
        <v>82</v>
      </c>
      <c r="X4" s="56">
        <v>72</v>
      </c>
      <c r="Y4" s="56">
        <v>60</v>
      </c>
      <c r="Z4" s="56">
        <f t="shared" ref="Z4:Z48" si="8">(AA4*0.8+AS4*0.2)*0.7</f>
        <v>48.221508196721302</v>
      </c>
      <c r="AA4" s="74">
        <f t="shared" ref="AA4:AA20" si="9">(O4*2+P4*2+Q4*4+R4*4+S4*3+T4*3+U4*2+N4*3.5+V4*2+W4*1+X4*3+Y4*1)/(2+4+4+3+3+2+3.5+2+1+3+1+2)</f>
        <v>77.609836065573802</v>
      </c>
      <c r="AB4" s="75"/>
      <c r="AC4" s="78">
        <v>10</v>
      </c>
      <c r="AD4" s="78">
        <v>7.5</v>
      </c>
      <c r="AE4" s="78">
        <v>2.5</v>
      </c>
      <c r="AF4" s="79">
        <v>5</v>
      </c>
      <c r="AG4" s="88">
        <v>7.5</v>
      </c>
      <c r="AH4" s="88">
        <v>1.5</v>
      </c>
      <c r="AI4" s="90"/>
      <c r="AJ4" s="90"/>
      <c r="AK4" s="90"/>
      <c r="AL4" s="90"/>
      <c r="AM4" s="90"/>
      <c r="AN4" s="90"/>
      <c r="AO4" s="88"/>
      <c r="AP4" s="88"/>
      <c r="AQ4" s="88"/>
      <c r="AR4" s="88"/>
      <c r="AS4" s="89">
        <f t="shared" ref="AS4:AS48" si="10">SUM(AC4,AE4,AF4,AJ4,AG4,AH4,AI4,AD4,AK4)</f>
        <v>34</v>
      </c>
      <c r="AT4" s="198"/>
      <c r="AU4" s="96">
        <v>1.5</v>
      </c>
      <c r="AV4" s="96">
        <v>1.5</v>
      </c>
      <c r="AW4" s="96">
        <v>3</v>
      </c>
      <c r="AX4" s="96">
        <v>0</v>
      </c>
      <c r="AY4" s="101">
        <v>5</v>
      </c>
      <c r="AZ4" s="96"/>
      <c r="BA4" s="96">
        <v>1.8</v>
      </c>
      <c r="BB4" s="96">
        <f t="shared" si="3"/>
        <v>1.8</v>
      </c>
      <c r="BC4" s="96">
        <v>1</v>
      </c>
      <c r="BD4" s="96"/>
      <c r="BE4" s="96">
        <v>1.4</v>
      </c>
      <c r="BF4" s="96">
        <v>0</v>
      </c>
      <c r="BG4" s="103">
        <f t="shared" si="4"/>
        <v>2.4</v>
      </c>
      <c r="BH4" s="103">
        <f t="shared" si="5"/>
        <v>10.199999999999999</v>
      </c>
      <c r="BI4" s="66" t="s">
        <v>133</v>
      </c>
      <c r="BJ4" s="97"/>
      <c r="BK4" s="104"/>
      <c r="BL4" s="97"/>
      <c r="BM4" s="97"/>
      <c r="BN4" s="105">
        <f t="shared" si="6"/>
        <v>71.921508196721305</v>
      </c>
      <c r="BO4" s="97"/>
    </row>
    <row r="5" spans="1:67" ht="15.25" customHeight="1">
      <c r="A5" s="15"/>
      <c r="B5" s="66" t="s">
        <v>134</v>
      </c>
      <c r="C5" s="193"/>
      <c r="D5" s="53">
        <v>9</v>
      </c>
      <c r="E5" s="53">
        <v>1.2</v>
      </c>
      <c r="F5" s="53">
        <v>0</v>
      </c>
      <c r="G5" s="53"/>
      <c r="H5" s="53">
        <f t="shared" si="7"/>
        <v>10.199999999999999</v>
      </c>
      <c r="I5" s="53">
        <v>0</v>
      </c>
      <c r="J5" s="53">
        <v>0</v>
      </c>
      <c r="K5" s="53">
        <f t="shared" si="0"/>
        <v>0</v>
      </c>
      <c r="L5" s="70">
        <f t="shared" si="1"/>
        <v>10.199999999999999</v>
      </c>
      <c r="M5" s="195"/>
      <c r="N5" s="56">
        <v>83.2</v>
      </c>
      <c r="O5" s="56">
        <v>70</v>
      </c>
      <c r="P5" s="56">
        <v>92</v>
      </c>
      <c r="Q5" s="56">
        <v>77</v>
      </c>
      <c r="R5" s="56">
        <v>85.8</v>
      </c>
      <c r="S5" s="56">
        <v>89.8</v>
      </c>
      <c r="T5" s="56">
        <v>85.5</v>
      </c>
      <c r="U5" s="56">
        <v>100</v>
      </c>
      <c r="V5" s="56">
        <v>83.6</v>
      </c>
      <c r="W5" s="56">
        <v>88</v>
      </c>
      <c r="X5" s="56">
        <v>72</v>
      </c>
      <c r="Y5" s="56">
        <v>60</v>
      </c>
      <c r="Z5" s="56">
        <f t="shared" si="8"/>
        <v>47.453114754098401</v>
      </c>
      <c r="AA5" s="74">
        <f t="shared" si="9"/>
        <v>82.737704918032804</v>
      </c>
      <c r="AB5" s="75"/>
      <c r="AC5" s="78">
        <v>1.5</v>
      </c>
      <c r="AD5" s="78"/>
      <c r="AE5" s="78">
        <v>1.5</v>
      </c>
      <c r="AF5" s="79">
        <v>5</v>
      </c>
      <c r="AG5" s="88"/>
      <c r="AH5" s="88"/>
      <c r="AI5" s="90"/>
      <c r="AJ5" s="90"/>
      <c r="AK5" s="90"/>
      <c r="AL5" s="90"/>
      <c r="AM5" s="90"/>
      <c r="AN5" s="90"/>
      <c r="AO5" s="88"/>
      <c r="AP5" s="88"/>
      <c r="AQ5" s="88"/>
      <c r="AR5" s="88"/>
      <c r="AS5" s="89">
        <f t="shared" si="10"/>
        <v>8</v>
      </c>
      <c r="AT5" s="198"/>
      <c r="AU5" s="96">
        <v>1.5</v>
      </c>
      <c r="AV5" s="96">
        <v>1.5</v>
      </c>
      <c r="AW5" s="96">
        <v>1.8</v>
      </c>
      <c r="AX5" s="96">
        <v>0</v>
      </c>
      <c r="AY5" s="96">
        <f t="shared" si="2"/>
        <v>4.8</v>
      </c>
      <c r="AZ5" s="96"/>
      <c r="BA5" s="96">
        <v>0.8</v>
      </c>
      <c r="BB5" s="96">
        <f t="shared" si="3"/>
        <v>0.8</v>
      </c>
      <c r="BC5" s="96">
        <v>1</v>
      </c>
      <c r="BD5" s="96">
        <v>1</v>
      </c>
      <c r="BE5" s="96">
        <v>1</v>
      </c>
      <c r="BF5" s="96">
        <v>0</v>
      </c>
      <c r="BG5" s="103">
        <f t="shared" si="4"/>
        <v>2</v>
      </c>
      <c r="BH5" s="103">
        <f t="shared" si="5"/>
        <v>7.6</v>
      </c>
      <c r="BI5" s="66" t="s">
        <v>134</v>
      </c>
      <c r="BJ5" s="97"/>
      <c r="BK5" s="104"/>
      <c r="BL5" s="97"/>
      <c r="BM5" s="97"/>
      <c r="BN5" s="105">
        <f t="shared" si="6"/>
        <v>65.253114754098405</v>
      </c>
      <c r="BO5" s="97"/>
    </row>
    <row r="6" spans="1:67" ht="15.25" customHeight="1">
      <c r="A6" s="15"/>
      <c r="B6" s="66" t="s">
        <v>135</v>
      </c>
      <c r="C6" s="193"/>
      <c r="D6" s="53">
        <v>9</v>
      </c>
      <c r="E6" s="53">
        <v>1</v>
      </c>
      <c r="F6" s="53">
        <v>0</v>
      </c>
      <c r="G6" s="53">
        <v>0</v>
      </c>
      <c r="H6" s="53">
        <f t="shared" si="7"/>
        <v>10</v>
      </c>
      <c r="I6" s="53">
        <v>0</v>
      </c>
      <c r="J6" s="53">
        <v>0</v>
      </c>
      <c r="K6" s="53">
        <f t="shared" si="0"/>
        <v>0</v>
      </c>
      <c r="L6" s="70">
        <f t="shared" si="1"/>
        <v>10</v>
      </c>
      <c r="M6" s="195"/>
      <c r="N6" s="56">
        <v>81.900000000000006</v>
      </c>
      <c r="O6" s="56">
        <v>70</v>
      </c>
      <c r="P6" s="56">
        <v>82.2</v>
      </c>
      <c r="Q6" s="56">
        <v>66.5</v>
      </c>
      <c r="R6" s="56">
        <v>77.8</v>
      </c>
      <c r="S6" s="56">
        <v>74</v>
      </c>
      <c r="T6" s="56">
        <v>77</v>
      </c>
      <c r="U6" s="56">
        <v>100</v>
      </c>
      <c r="V6" s="56">
        <v>83.3</v>
      </c>
      <c r="W6" s="56">
        <v>57.7</v>
      </c>
      <c r="X6" s="56">
        <v>76</v>
      </c>
      <c r="Y6" s="56">
        <v>60</v>
      </c>
      <c r="Z6" s="56">
        <f t="shared" si="8"/>
        <v>43.755508196721301</v>
      </c>
      <c r="AA6" s="74">
        <f t="shared" si="9"/>
        <v>76.509836065573793</v>
      </c>
      <c r="AB6" s="75"/>
      <c r="AC6" s="78">
        <v>1.5</v>
      </c>
      <c r="AD6" s="78"/>
      <c r="AE6" s="78"/>
      <c r="AF6" s="79">
        <v>5</v>
      </c>
      <c r="AG6" s="91"/>
      <c r="AH6" s="91"/>
      <c r="AI6" s="92"/>
      <c r="AJ6" s="92"/>
      <c r="AK6" s="92"/>
      <c r="AL6" s="92"/>
      <c r="AM6" s="92"/>
      <c r="AN6" s="92"/>
      <c r="AO6" s="91"/>
      <c r="AP6" s="91"/>
      <c r="AQ6" s="91"/>
      <c r="AR6" s="88"/>
      <c r="AS6" s="89">
        <f t="shared" si="10"/>
        <v>6.5</v>
      </c>
      <c r="AT6" s="198"/>
      <c r="AU6" s="96">
        <v>1.5</v>
      </c>
      <c r="AV6" s="96">
        <v>1.5</v>
      </c>
      <c r="AW6" s="96">
        <v>1.8</v>
      </c>
      <c r="AX6" s="96">
        <v>0</v>
      </c>
      <c r="AY6" s="96">
        <f t="shared" si="2"/>
        <v>4.8</v>
      </c>
      <c r="AZ6" s="96"/>
      <c r="BA6" s="96">
        <v>0.8</v>
      </c>
      <c r="BB6" s="96">
        <f t="shared" si="3"/>
        <v>0.8</v>
      </c>
      <c r="BC6" s="96">
        <v>1</v>
      </c>
      <c r="BD6" s="96"/>
      <c r="BE6" s="96">
        <v>1.4</v>
      </c>
      <c r="BF6" s="96">
        <v>0</v>
      </c>
      <c r="BG6" s="103">
        <f t="shared" si="4"/>
        <v>2.4</v>
      </c>
      <c r="BH6" s="103">
        <f t="shared" si="5"/>
        <v>8</v>
      </c>
      <c r="BI6" s="66" t="s">
        <v>135</v>
      </c>
      <c r="BJ6" s="97"/>
      <c r="BK6" s="104"/>
      <c r="BL6" s="97"/>
      <c r="BM6" s="97"/>
      <c r="BN6" s="105">
        <f t="shared" si="6"/>
        <v>61.755508196721301</v>
      </c>
      <c r="BO6" s="97"/>
    </row>
    <row r="7" spans="1:67" ht="15.25" customHeight="1">
      <c r="A7" s="15"/>
      <c r="B7" s="66" t="s">
        <v>136</v>
      </c>
      <c r="C7" s="193"/>
      <c r="D7" s="53">
        <v>9</v>
      </c>
      <c r="E7" s="53">
        <v>1</v>
      </c>
      <c r="F7" s="53">
        <v>0</v>
      </c>
      <c r="G7" s="53">
        <v>0</v>
      </c>
      <c r="H7" s="53">
        <f t="shared" si="7"/>
        <v>10</v>
      </c>
      <c r="I7" s="53">
        <v>-2</v>
      </c>
      <c r="J7" s="53">
        <v>0</v>
      </c>
      <c r="K7" s="53">
        <f t="shared" si="0"/>
        <v>-2</v>
      </c>
      <c r="L7" s="70">
        <f t="shared" si="1"/>
        <v>8</v>
      </c>
      <c r="M7" s="195"/>
      <c r="N7" s="56">
        <v>77.599999999999994</v>
      </c>
      <c r="O7" s="56">
        <v>60</v>
      </c>
      <c r="P7" s="56">
        <v>70.7</v>
      </c>
      <c r="Q7" s="56">
        <v>68</v>
      </c>
      <c r="R7" s="56">
        <v>69.599999999999994</v>
      </c>
      <c r="S7" s="56">
        <v>79.400000000000006</v>
      </c>
      <c r="T7" s="56">
        <v>63.7</v>
      </c>
      <c r="U7" s="56">
        <v>100</v>
      </c>
      <c r="V7" s="56">
        <v>87.5</v>
      </c>
      <c r="W7" s="56">
        <v>76.5</v>
      </c>
      <c r="X7" s="56">
        <v>60</v>
      </c>
      <c r="Y7" s="56">
        <v>60</v>
      </c>
      <c r="Z7" s="56">
        <f t="shared" si="8"/>
        <v>40.470557377049197</v>
      </c>
      <c r="AA7" s="74">
        <f t="shared" si="9"/>
        <v>72.268852459016401</v>
      </c>
      <c r="AB7" s="75"/>
      <c r="AC7" s="78"/>
      <c r="AD7" s="78"/>
      <c r="AE7" s="78"/>
      <c r="AF7" s="79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9">
        <f t="shared" si="10"/>
        <v>0</v>
      </c>
      <c r="AT7" s="198"/>
      <c r="AU7" s="96">
        <v>1.5</v>
      </c>
      <c r="AV7" s="96">
        <v>1.5</v>
      </c>
      <c r="AW7" s="96">
        <v>0</v>
      </c>
      <c r="AX7" s="96">
        <v>0</v>
      </c>
      <c r="AY7" s="96">
        <f t="shared" si="2"/>
        <v>3</v>
      </c>
      <c r="AZ7" s="96"/>
      <c r="BA7" s="96">
        <v>0</v>
      </c>
      <c r="BB7" s="96">
        <f t="shared" si="3"/>
        <v>0</v>
      </c>
      <c r="BC7" s="96">
        <v>1</v>
      </c>
      <c r="BD7" s="96"/>
      <c r="BE7" s="96">
        <v>0</v>
      </c>
      <c r="BF7" s="96">
        <v>0</v>
      </c>
      <c r="BG7" s="103">
        <f t="shared" si="4"/>
        <v>1</v>
      </c>
      <c r="BH7" s="103">
        <f t="shared" si="5"/>
        <v>4</v>
      </c>
      <c r="BI7" s="66" t="s">
        <v>136</v>
      </c>
      <c r="BJ7" s="97"/>
      <c r="BK7" s="104"/>
      <c r="BL7" s="97"/>
      <c r="BM7" s="97"/>
      <c r="BN7" s="105">
        <f t="shared" si="6"/>
        <v>52.470557377049197</v>
      </c>
      <c r="BO7" s="97"/>
    </row>
    <row r="8" spans="1:67" ht="15.25" customHeight="1">
      <c r="A8" s="15"/>
      <c r="B8" s="66" t="s">
        <v>137</v>
      </c>
      <c r="C8" s="193"/>
      <c r="D8" s="53">
        <v>9</v>
      </c>
      <c r="E8" s="53">
        <v>1</v>
      </c>
      <c r="F8" s="53">
        <v>0</v>
      </c>
      <c r="G8" s="53">
        <v>0</v>
      </c>
      <c r="H8" s="53">
        <f t="shared" si="7"/>
        <v>10</v>
      </c>
      <c r="I8" s="53">
        <v>0</v>
      </c>
      <c r="J8" s="53">
        <v>0</v>
      </c>
      <c r="K8" s="53">
        <f t="shared" si="0"/>
        <v>0</v>
      </c>
      <c r="L8" s="70">
        <f t="shared" si="1"/>
        <v>10</v>
      </c>
      <c r="M8" s="195"/>
      <c r="N8" s="56">
        <v>82</v>
      </c>
      <c r="O8" s="56">
        <v>70</v>
      </c>
      <c r="P8" s="56">
        <v>61.4</v>
      </c>
      <c r="Q8" s="56">
        <v>73.5</v>
      </c>
      <c r="R8" s="56">
        <v>81.2</v>
      </c>
      <c r="S8" s="56">
        <v>70.8</v>
      </c>
      <c r="T8" s="56">
        <v>78.7</v>
      </c>
      <c r="U8" s="56">
        <v>100</v>
      </c>
      <c r="V8" s="56">
        <v>87.5</v>
      </c>
      <c r="W8" s="56">
        <v>85.3</v>
      </c>
      <c r="X8" s="56">
        <v>75</v>
      </c>
      <c r="Y8" s="56">
        <v>60</v>
      </c>
      <c r="Z8" s="56">
        <f t="shared" si="8"/>
        <v>44.075213114754099</v>
      </c>
      <c r="AA8" s="74">
        <f t="shared" si="9"/>
        <v>77.455737704917993</v>
      </c>
      <c r="AB8" s="75"/>
      <c r="AC8" s="78"/>
      <c r="AD8" s="78"/>
      <c r="AE8" s="78"/>
      <c r="AF8" s="79">
        <v>5</v>
      </c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9">
        <f t="shared" si="10"/>
        <v>5</v>
      </c>
      <c r="AT8" s="198"/>
      <c r="AU8" s="96">
        <v>1.5</v>
      </c>
      <c r="AV8" s="96">
        <v>1.5</v>
      </c>
      <c r="AW8" s="96">
        <v>0</v>
      </c>
      <c r="AX8" s="96">
        <v>0</v>
      </c>
      <c r="AY8" s="96">
        <f t="shared" si="2"/>
        <v>3</v>
      </c>
      <c r="AZ8" s="96"/>
      <c r="BA8" s="96">
        <v>0</v>
      </c>
      <c r="BB8" s="96">
        <f t="shared" si="3"/>
        <v>0</v>
      </c>
      <c r="BC8" s="96">
        <v>1</v>
      </c>
      <c r="BD8" s="96"/>
      <c r="BE8" s="96">
        <v>0</v>
      </c>
      <c r="BF8" s="96">
        <v>0</v>
      </c>
      <c r="BG8" s="103">
        <f t="shared" si="4"/>
        <v>1</v>
      </c>
      <c r="BH8" s="103">
        <f t="shared" si="5"/>
        <v>4</v>
      </c>
      <c r="BI8" s="66" t="s">
        <v>137</v>
      </c>
      <c r="BJ8" s="97"/>
      <c r="BK8" s="104"/>
      <c r="BL8" s="97"/>
      <c r="BM8" s="97"/>
      <c r="BN8" s="105">
        <f t="shared" si="6"/>
        <v>58.075213114754099</v>
      </c>
      <c r="BO8" s="97"/>
    </row>
    <row r="9" spans="1:67" ht="15.25" customHeight="1">
      <c r="A9" s="15"/>
      <c r="B9" s="66" t="s">
        <v>138</v>
      </c>
      <c r="C9" s="193"/>
      <c r="D9" s="53">
        <v>9</v>
      </c>
      <c r="E9" s="53">
        <v>1</v>
      </c>
      <c r="F9" s="53">
        <v>0</v>
      </c>
      <c r="G9" s="53">
        <v>0</v>
      </c>
      <c r="H9" s="53">
        <f t="shared" si="7"/>
        <v>10</v>
      </c>
      <c r="I9" s="53">
        <v>0</v>
      </c>
      <c r="J9" s="53">
        <v>0</v>
      </c>
      <c r="K9" s="53">
        <f t="shared" si="0"/>
        <v>0</v>
      </c>
      <c r="L9" s="70">
        <f t="shared" si="1"/>
        <v>10</v>
      </c>
      <c r="M9" s="195"/>
      <c r="N9" s="56">
        <v>66.3</v>
      </c>
      <c r="O9" s="56">
        <v>70</v>
      </c>
      <c r="P9" s="56">
        <v>67.2</v>
      </c>
      <c r="Q9" s="56">
        <v>71.5</v>
      </c>
      <c r="R9" s="56">
        <v>68.599999999999994</v>
      </c>
      <c r="S9" s="56">
        <v>54.6</v>
      </c>
      <c r="T9" s="56">
        <v>74.900000000000006</v>
      </c>
      <c r="U9" s="56">
        <v>100</v>
      </c>
      <c r="V9" s="56">
        <v>84</v>
      </c>
      <c r="W9" s="56">
        <v>76.5</v>
      </c>
      <c r="X9" s="56">
        <v>70</v>
      </c>
      <c r="Y9" s="56">
        <v>60</v>
      </c>
      <c r="Z9" s="56">
        <f t="shared" si="8"/>
        <v>39.839868852458999</v>
      </c>
      <c r="AA9" s="74">
        <f t="shared" si="9"/>
        <v>71.1426229508197</v>
      </c>
      <c r="AB9" s="75"/>
      <c r="AC9" s="78"/>
      <c r="AD9" s="78"/>
      <c r="AE9" s="78"/>
      <c r="AF9" s="79"/>
      <c r="AG9" s="89"/>
      <c r="AH9" s="89"/>
      <c r="AI9" s="87"/>
      <c r="AJ9" s="87"/>
      <c r="AK9" s="87"/>
      <c r="AL9" s="87"/>
      <c r="AM9" s="87"/>
      <c r="AN9" s="87"/>
      <c r="AO9" s="89"/>
      <c r="AP9" s="89"/>
      <c r="AQ9" s="89"/>
      <c r="AR9" s="88"/>
      <c r="AS9" s="89">
        <f t="shared" si="10"/>
        <v>0</v>
      </c>
      <c r="AT9" s="198"/>
      <c r="AU9" s="96">
        <v>1.5</v>
      </c>
      <c r="AV9" s="96">
        <v>1.5</v>
      </c>
      <c r="AW9" s="96">
        <v>0.8</v>
      </c>
      <c r="AX9" s="96">
        <v>0</v>
      </c>
      <c r="AY9" s="96">
        <f t="shared" si="2"/>
        <v>3.8</v>
      </c>
      <c r="AZ9" s="96"/>
      <c r="BA9" s="96">
        <v>0.8</v>
      </c>
      <c r="BB9" s="96">
        <f t="shared" si="3"/>
        <v>0.8</v>
      </c>
      <c r="BC9" s="96">
        <v>1</v>
      </c>
      <c r="BD9" s="96"/>
      <c r="BE9" s="96">
        <v>0.4</v>
      </c>
      <c r="BF9" s="96">
        <v>0</v>
      </c>
      <c r="BG9" s="103">
        <f t="shared" si="4"/>
        <v>1.4</v>
      </c>
      <c r="BH9" s="103">
        <f t="shared" si="5"/>
        <v>6</v>
      </c>
      <c r="BI9" s="66" t="s">
        <v>138</v>
      </c>
      <c r="BJ9" s="97"/>
      <c r="BK9" s="104"/>
      <c r="BL9" s="97"/>
      <c r="BM9" s="97"/>
      <c r="BN9" s="105">
        <f t="shared" si="6"/>
        <v>55.839868852458999</v>
      </c>
      <c r="BO9" s="97"/>
    </row>
    <row r="10" spans="1:67" ht="15.25" customHeight="1">
      <c r="A10" s="15"/>
      <c r="B10" s="66" t="s">
        <v>139</v>
      </c>
      <c r="C10" s="193"/>
      <c r="D10" s="53">
        <v>9</v>
      </c>
      <c r="E10" s="53">
        <v>0</v>
      </c>
      <c r="F10" s="53">
        <v>0</v>
      </c>
      <c r="G10" s="53">
        <v>0</v>
      </c>
      <c r="H10" s="53">
        <f t="shared" si="7"/>
        <v>9</v>
      </c>
      <c r="I10" s="53">
        <v>-2</v>
      </c>
      <c r="J10" s="53">
        <v>0</v>
      </c>
      <c r="K10" s="53">
        <f t="shared" si="0"/>
        <v>-2</v>
      </c>
      <c r="L10" s="70">
        <f t="shared" si="1"/>
        <v>7</v>
      </c>
      <c r="M10" s="195"/>
      <c r="N10" s="56">
        <v>55</v>
      </c>
      <c r="O10" s="56">
        <v>60</v>
      </c>
      <c r="P10" s="56">
        <v>62</v>
      </c>
      <c r="Q10" s="56">
        <v>72.5</v>
      </c>
      <c r="R10" s="56">
        <v>61.2</v>
      </c>
      <c r="S10" s="56">
        <v>66.8</v>
      </c>
      <c r="T10" s="56">
        <v>67.900000000000006</v>
      </c>
      <c r="U10" s="56">
        <v>100</v>
      </c>
      <c r="V10" s="56">
        <v>82.6</v>
      </c>
      <c r="W10" s="56">
        <v>67.900000000000006</v>
      </c>
      <c r="X10" s="56">
        <v>71</v>
      </c>
      <c r="Y10" s="56">
        <v>60</v>
      </c>
      <c r="Z10" s="56">
        <f t="shared" si="8"/>
        <v>38.217704918032801</v>
      </c>
      <c r="AA10" s="74">
        <f t="shared" si="9"/>
        <v>68.245901639344297</v>
      </c>
      <c r="AB10" s="75"/>
      <c r="AC10" s="78"/>
      <c r="AD10" s="78"/>
      <c r="AE10" s="78"/>
      <c r="AF10" s="79"/>
      <c r="AG10" s="88"/>
      <c r="AH10" s="88"/>
      <c r="AI10" s="90"/>
      <c r="AJ10" s="90"/>
      <c r="AK10" s="90"/>
      <c r="AL10" s="90"/>
      <c r="AM10" s="90"/>
      <c r="AN10" s="90"/>
      <c r="AO10" s="88"/>
      <c r="AP10" s="88"/>
      <c r="AQ10" s="88"/>
      <c r="AR10" s="88"/>
      <c r="AS10" s="89">
        <f t="shared" si="10"/>
        <v>0</v>
      </c>
      <c r="AT10" s="198"/>
      <c r="AU10" s="96">
        <v>1.5</v>
      </c>
      <c r="AV10" s="96">
        <v>1.5</v>
      </c>
      <c r="AW10" s="96">
        <v>0</v>
      </c>
      <c r="AX10" s="96">
        <v>0</v>
      </c>
      <c r="AY10" s="96">
        <f t="shared" si="2"/>
        <v>3</v>
      </c>
      <c r="AZ10" s="96"/>
      <c r="BA10" s="96">
        <v>0</v>
      </c>
      <c r="BB10" s="96">
        <f t="shared" si="3"/>
        <v>0</v>
      </c>
      <c r="BC10" s="96">
        <v>1</v>
      </c>
      <c r="BD10" s="96"/>
      <c r="BE10" s="96">
        <v>0.4</v>
      </c>
      <c r="BF10" s="96">
        <v>0</v>
      </c>
      <c r="BG10" s="103">
        <f t="shared" si="4"/>
        <v>1.4</v>
      </c>
      <c r="BH10" s="103">
        <f t="shared" si="5"/>
        <v>4.4000000000000004</v>
      </c>
      <c r="BI10" s="66" t="s">
        <v>139</v>
      </c>
      <c r="BJ10" s="97"/>
      <c r="BK10" s="104"/>
      <c r="BL10" s="97"/>
      <c r="BM10" s="97"/>
      <c r="BN10" s="105">
        <f t="shared" si="6"/>
        <v>49.6177049180328</v>
      </c>
      <c r="BO10" s="97"/>
    </row>
    <row r="11" spans="1:67" ht="15.25" customHeight="1">
      <c r="A11" s="15"/>
      <c r="B11" s="66" t="s">
        <v>140</v>
      </c>
      <c r="C11" s="193"/>
      <c r="D11" s="53">
        <v>9</v>
      </c>
      <c r="E11" s="53">
        <v>1</v>
      </c>
      <c r="F11" s="53">
        <v>0</v>
      </c>
      <c r="G11" s="53">
        <v>0</v>
      </c>
      <c r="H11" s="53">
        <f t="shared" si="7"/>
        <v>10</v>
      </c>
      <c r="I11" s="53">
        <v>0</v>
      </c>
      <c r="J11" s="53">
        <v>0</v>
      </c>
      <c r="K11" s="53">
        <f t="shared" si="0"/>
        <v>0</v>
      </c>
      <c r="L11" s="70">
        <f t="shared" si="1"/>
        <v>10</v>
      </c>
      <c r="M11" s="195"/>
      <c r="N11" s="56">
        <v>65.2</v>
      </c>
      <c r="O11" s="56">
        <v>70</v>
      </c>
      <c r="P11" s="56">
        <v>60</v>
      </c>
      <c r="Q11" s="56">
        <v>67.5</v>
      </c>
      <c r="R11" s="56">
        <v>65.599999999999994</v>
      </c>
      <c r="S11" s="56">
        <v>68.400000000000006</v>
      </c>
      <c r="T11" s="56">
        <v>74.400000000000006</v>
      </c>
      <c r="U11" s="56">
        <v>100</v>
      </c>
      <c r="V11" s="56">
        <v>82.6</v>
      </c>
      <c r="W11" s="56">
        <v>70.3</v>
      </c>
      <c r="X11" s="56">
        <v>65</v>
      </c>
      <c r="Y11" s="56">
        <v>60</v>
      </c>
      <c r="Z11" s="56">
        <f t="shared" si="8"/>
        <v>39.2826229508197</v>
      </c>
      <c r="AA11" s="74">
        <f t="shared" si="9"/>
        <v>70.147540983606604</v>
      </c>
      <c r="AB11" s="75"/>
      <c r="AC11" s="78"/>
      <c r="AD11" s="78"/>
      <c r="AE11" s="78"/>
      <c r="AF11" s="79"/>
      <c r="AG11" s="88"/>
      <c r="AH11" s="88"/>
      <c r="AI11" s="90"/>
      <c r="AJ11" s="90"/>
      <c r="AK11" s="90"/>
      <c r="AL11" s="90"/>
      <c r="AM11" s="90"/>
      <c r="AN11" s="90"/>
      <c r="AO11" s="88"/>
      <c r="AP11" s="88"/>
      <c r="AQ11" s="88"/>
      <c r="AR11" s="88"/>
      <c r="AS11" s="89">
        <f t="shared" si="10"/>
        <v>0</v>
      </c>
      <c r="AT11" s="198"/>
      <c r="AU11" s="96">
        <v>1.5</v>
      </c>
      <c r="AV11" s="96">
        <v>1.5</v>
      </c>
      <c r="AW11" s="96">
        <v>0</v>
      </c>
      <c r="AX11" s="96">
        <v>0</v>
      </c>
      <c r="AY11" s="96">
        <f t="shared" si="2"/>
        <v>3</v>
      </c>
      <c r="AZ11" s="96"/>
      <c r="BA11" s="96">
        <v>0</v>
      </c>
      <c r="BB11" s="96">
        <f t="shared" si="3"/>
        <v>0</v>
      </c>
      <c r="BC11" s="96">
        <v>1</v>
      </c>
      <c r="BD11" s="96"/>
      <c r="BE11" s="96">
        <v>0</v>
      </c>
      <c r="BF11" s="96">
        <v>0</v>
      </c>
      <c r="BG11" s="103">
        <f t="shared" si="4"/>
        <v>1</v>
      </c>
      <c r="BH11" s="103">
        <f t="shared" si="5"/>
        <v>4</v>
      </c>
      <c r="BI11" s="66" t="s">
        <v>140</v>
      </c>
      <c r="BJ11" s="97"/>
      <c r="BK11" s="104"/>
      <c r="BL11" s="97"/>
      <c r="BM11" s="97"/>
      <c r="BN11" s="105">
        <f t="shared" si="6"/>
        <v>53.2826229508197</v>
      </c>
      <c r="BO11" s="97"/>
    </row>
    <row r="12" spans="1:67" ht="15.25" customHeight="1">
      <c r="A12" s="15"/>
      <c r="B12" s="66" t="s">
        <v>141</v>
      </c>
      <c r="C12" s="193"/>
      <c r="D12" s="53">
        <v>9</v>
      </c>
      <c r="E12" s="53">
        <v>1.3</v>
      </c>
      <c r="F12" s="53">
        <v>0</v>
      </c>
      <c r="G12" s="53">
        <v>0</v>
      </c>
      <c r="H12" s="53">
        <f t="shared" si="7"/>
        <v>10.3</v>
      </c>
      <c r="I12" s="53">
        <v>0</v>
      </c>
      <c r="J12" s="53">
        <v>0</v>
      </c>
      <c r="K12" s="53">
        <f t="shared" si="0"/>
        <v>0</v>
      </c>
      <c r="L12" s="70">
        <f t="shared" si="1"/>
        <v>10.3</v>
      </c>
      <c r="M12" s="195"/>
      <c r="N12" s="56">
        <v>81.2</v>
      </c>
      <c r="O12" s="56">
        <v>70</v>
      </c>
      <c r="P12" s="56">
        <v>69.2</v>
      </c>
      <c r="Q12" s="56">
        <v>68</v>
      </c>
      <c r="R12" s="56">
        <v>72.599999999999994</v>
      </c>
      <c r="S12" s="56">
        <v>69.8</v>
      </c>
      <c r="T12" s="56">
        <v>80.400000000000006</v>
      </c>
      <c r="U12" s="56">
        <v>100</v>
      </c>
      <c r="V12" s="56">
        <v>81.8</v>
      </c>
      <c r="W12" s="56">
        <v>75.3</v>
      </c>
      <c r="X12" s="56">
        <v>62</v>
      </c>
      <c r="Y12" s="56">
        <v>60</v>
      </c>
      <c r="Z12" s="56">
        <f t="shared" si="8"/>
        <v>41.924262295082002</v>
      </c>
      <c r="AA12" s="74">
        <f t="shared" si="9"/>
        <v>74.114754098360606</v>
      </c>
      <c r="AB12" s="75"/>
      <c r="AC12" s="78">
        <v>1.5</v>
      </c>
      <c r="AD12" s="78"/>
      <c r="AE12" s="80">
        <v>1.5</v>
      </c>
      <c r="AF12" s="79"/>
      <c r="AG12" s="88"/>
      <c r="AH12" s="88"/>
      <c r="AI12" s="90"/>
      <c r="AJ12" s="90"/>
      <c r="AK12" s="90"/>
      <c r="AL12" s="90"/>
      <c r="AM12" s="90"/>
      <c r="AN12" s="90"/>
      <c r="AO12" s="88"/>
      <c r="AP12" s="88"/>
      <c r="AQ12" s="88"/>
      <c r="AR12" s="88"/>
      <c r="AS12" s="89">
        <f t="shared" si="10"/>
        <v>3</v>
      </c>
      <c r="AT12" s="198"/>
      <c r="AU12" s="96">
        <v>1.5</v>
      </c>
      <c r="AV12" s="96">
        <v>1.5</v>
      </c>
      <c r="AW12" s="96">
        <v>0</v>
      </c>
      <c r="AX12" s="96">
        <v>0</v>
      </c>
      <c r="AY12" s="96">
        <f t="shared" si="2"/>
        <v>3</v>
      </c>
      <c r="AZ12" s="96"/>
      <c r="BA12" s="96">
        <v>0.8</v>
      </c>
      <c r="BB12" s="96">
        <f t="shared" si="3"/>
        <v>0.8</v>
      </c>
      <c r="BC12" s="96">
        <v>1</v>
      </c>
      <c r="BD12" s="96"/>
      <c r="BE12" s="96">
        <v>0.4</v>
      </c>
      <c r="BF12" s="96">
        <v>0</v>
      </c>
      <c r="BG12" s="103">
        <f t="shared" si="4"/>
        <v>1.4</v>
      </c>
      <c r="BH12" s="103">
        <f t="shared" si="5"/>
        <v>5.2</v>
      </c>
      <c r="BI12" s="66" t="s">
        <v>141</v>
      </c>
      <c r="BJ12" s="97"/>
      <c r="BK12" s="104"/>
      <c r="BL12" s="97"/>
      <c r="BM12" s="97"/>
      <c r="BN12" s="105">
        <f t="shared" si="6"/>
        <v>57.424262295082002</v>
      </c>
      <c r="BO12" s="97"/>
    </row>
    <row r="13" spans="1:67" ht="15.25" customHeight="1">
      <c r="A13" s="15"/>
      <c r="B13" s="66" t="s">
        <v>142</v>
      </c>
      <c r="C13" s="193"/>
      <c r="D13" s="53">
        <v>9</v>
      </c>
      <c r="E13" s="53">
        <v>0</v>
      </c>
      <c r="F13" s="53">
        <v>0</v>
      </c>
      <c r="G13" s="53">
        <v>0</v>
      </c>
      <c r="H13" s="53">
        <f t="shared" si="7"/>
        <v>9</v>
      </c>
      <c r="I13" s="53">
        <v>0</v>
      </c>
      <c r="J13" s="53">
        <v>0</v>
      </c>
      <c r="K13" s="53">
        <f t="shared" si="0"/>
        <v>0</v>
      </c>
      <c r="L13" s="70">
        <f t="shared" si="1"/>
        <v>9</v>
      </c>
      <c r="M13" s="195"/>
      <c r="N13" s="56">
        <v>81.900000000000006</v>
      </c>
      <c r="O13" s="56">
        <v>70</v>
      </c>
      <c r="P13" s="56">
        <v>80.7</v>
      </c>
      <c r="Q13" s="56">
        <v>48</v>
      </c>
      <c r="R13" s="56">
        <v>93.2</v>
      </c>
      <c r="S13" s="56">
        <v>84.6</v>
      </c>
      <c r="T13" s="56">
        <v>53.2</v>
      </c>
      <c r="U13" s="56">
        <v>100</v>
      </c>
      <c r="V13" s="56">
        <v>80.7</v>
      </c>
      <c r="W13" s="56">
        <v>57</v>
      </c>
      <c r="X13" s="56">
        <v>71</v>
      </c>
      <c r="Y13" s="56">
        <v>0</v>
      </c>
      <c r="Z13" s="56">
        <f t="shared" si="8"/>
        <v>40.350295081967197</v>
      </c>
      <c r="AA13" s="74">
        <f t="shared" si="9"/>
        <v>72.054098360655701</v>
      </c>
      <c r="AB13" s="75"/>
      <c r="AC13" s="78"/>
      <c r="AD13" s="78"/>
      <c r="AE13" s="78"/>
      <c r="AF13" s="79"/>
      <c r="AG13" s="88"/>
      <c r="AH13" s="88"/>
      <c r="AI13" s="90"/>
      <c r="AJ13" s="90"/>
      <c r="AK13" s="90"/>
      <c r="AL13" s="90"/>
      <c r="AM13" s="90"/>
      <c r="AN13" s="90"/>
      <c r="AO13" s="88"/>
      <c r="AP13" s="88"/>
      <c r="AQ13" s="88"/>
      <c r="AR13" s="88"/>
      <c r="AS13" s="89">
        <f t="shared" si="10"/>
        <v>0</v>
      </c>
      <c r="AT13" s="198"/>
      <c r="AU13" s="96">
        <v>1.5</v>
      </c>
      <c r="AV13" s="96">
        <v>1.5</v>
      </c>
      <c r="AW13" s="96">
        <v>0</v>
      </c>
      <c r="AX13" s="96">
        <v>0</v>
      </c>
      <c r="AY13" s="96">
        <f t="shared" si="2"/>
        <v>3</v>
      </c>
      <c r="AZ13" s="96"/>
      <c r="BA13" s="96">
        <v>0</v>
      </c>
      <c r="BB13" s="96">
        <f t="shared" si="3"/>
        <v>0</v>
      </c>
      <c r="BC13" s="96">
        <v>1</v>
      </c>
      <c r="BD13" s="96"/>
      <c r="BE13" s="96">
        <v>0.4</v>
      </c>
      <c r="BF13" s="96">
        <v>0</v>
      </c>
      <c r="BG13" s="103">
        <f t="shared" si="4"/>
        <v>1.4</v>
      </c>
      <c r="BH13" s="103">
        <f t="shared" si="5"/>
        <v>4.4000000000000004</v>
      </c>
      <c r="BI13" s="66" t="s">
        <v>142</v>
      </c>
      <c r="BJ13" s="97"/>
      <c r="BK13" s="104"/>
      <c r="BL13" s="97"/>
      <c r="BM13" s="97"/>
      <c r="BN13" s="105">
        <f t="shared" si="6"/>
        <v>53.750295081967202</v>
      </c>
      <c r="BO13" s="97"/>
    </row>
    <row r="14" spans="1:67" ht="15.25" customHeight="1">
      <c r="A14" s="15"/>
      <c r="B14" s="66" t="s">
        <v>143</v>
      </c>
      <c r="C14" s="193"/>
      <c r="D14" s="53">
        <v>9</v>
      </c>
      <c r="E14" s="53">
        <v>0</v>
      </c>
      <c r="F14" s="53">
        <v>0</v>
      </c>
      <c r="G14" s="53">
        <v>0</v>
      </c>
      <c r="H14" s="53">
        <f t="shared" si="7"/>
        <v>9</v>
      </c>
      <c r="I14" s="53">
        <v>0</v>
      </c>
      <c r="J14" s="53">
        <v>0</v>
      </c>
      <c r="K14" s="53">
        <f t="shared" si="0"/>
        <v>0</v>
      </c>
      <c r="L14" s="70">
        <f t="shared" si="1"/>
        <v>9</v>
      </c>
      <c r="M14" s="195"/>
      <c r="N14" s="56">
        <v>64.099999999999994</v>
      </c>
      <c r="O14" s="56">
        <v>70</v>
      </c>
      <c r="P14" s="56">
        <v>74.7</v>
      </c>
      <c r="Q14" s="56">
        <v>72.5</v>
      </c>
      <c r="R14" s="56">
        <v>84.2</v>
      </c>
      <c r="S14" s="56">
        <v>80.8</v>
      </c>
      <c r="T14" s="56">
        <v>61.2</v>
      </c>
      <c r="U14" s="56">
        <v>100</v>
      </c>
      <c r="V14" s="56">
        <v>81.400000000000006</v>
      </c>
      <c r="W14" s="56">
        <v>70.3</v>
      </c>
      <c r="X14" s="56">
        <v>75</v>
      </c>
      <c r="Y14" s="56">
        <v>0</v>
      </c>
      <c r="Z14" s="56">
        <f t="shared" si="8"/>
        <v>40.846032786885203</v>
      </c>
      <c r="AA14" s="74">
        <f t="shared" si="9"/>
        <v>72.939344262295094</v>
      </c>
      <c r="AB14" s="75"/>
      <c r="AC14" s="78"/>
      <c r="AD14" s="78"/>
      <c r="AE14" s="78"/>
      <c r="AF14" s="79"/>
      <c r="AG14" s="88"/>
      <c r="AH14" s="88"/>
      <c r="AI14" s="90"/>
      <c r="AJ14" s="90"/>
      <c r="AK14" s="90"/>
      <c r="AL14" s="90"/>
      <c r="AM14" s="90"/>
      <c r="AN14" s="90"/>
      <c r="AO14" s="88"/>
      <c r="AP14" s="88"/>
      <c r="AQ14" s="88"/>
      <c r="AR14" s="88"/>
      <c r="AS14" s="89">
        <f t="shared" si="10"/>
        <v>0</v>
      </c>
      <c r="AT14" s="198"/>
      <c r="AU14" s="96">
        <v>1.5</v>
      </c>
      <c r="AV14" s="96">
        <v>1.5</v>
      </c>
      <c r="AW14" s="96">
        <v>0</v>
      </c>
      <c r="AX14" s="96">
        <v>0</v>
      </c>
      <c r="AY14" s="96">
        <f t="shared" si="2"/>
        <v>3</v>
      </c>
      <c r="AZ14" s="96"/>
      <c r="BA14" s="96">
        <v>0.8</v>
      </c>
      <c r="BB14" s="96">
        <f t="shared" si="3"/>
        <v>0.8</v>
      </c>
      <c r="BC14" s="96">
        <v>1</v>
      </c>
      <c r="BD14" s="96"/>
      <c r="BE14" s="96">
        <v>0</v>
      </c>
      <c r="BF14" s="96">
        <v>0</v>
      </c>
      <c r="BG14" s="103">
        <f t="shared" si="4"/>
        <v>1</v>
      </c>
      <c r="BH14" s="103">
        <f t="shared" si="5"/>
        <v>4.8</v>
      </c>
      <c r="BI14" s="66" t="s">
        <v>143</v>
      </c>
      <c r="BJ14" s="97"/>
      <c r="BK14" s="104"/>
      <c r="BL14" s="97"/>
      <c r="BM14" s="97"/>
      <c r="BN14" s="105">
        <f t="shared" si="6"/>
        <v>54.6460327868852</v>
      </c>
      <c r="BO14" s="97"/>
    </row>
    <row r="15" spans="1:67" ht="15.25" customHeight="1">
      <c r="A15" s="15"/>
      <c r="B15" s="66" t="s">
        <v>144</v>
      </c>
      <c r="C15" s="193"/>
      <c r="D15" s="53">
        <v>9</v>
      </c>
      <c r="E15" s="53">
        <v>0</v>
      </c>
      <c r="F15" s="53">
        <v>0</v>
      </c>
      <c r="G15" s="53">
        <v>0</v>
      </c>
      <c r="H15" s="53">
        <f t="shared" si="7"/>
        <v>9</v>
      </c>
      <c r="I15" s="53">
        <v>0</v>
      </c>
      <c r="J15" s="53">
        <v>0</v>
      </c>
      <c r="K15" s="53">
        <f t="shared" si="0"/>
        <v>0</v>
      </c>
      <c r="L15" s="70">
        <f t="shared" si="1"/>
        <v>9</v>
      </c>
      <c r="M15" s="195"/>
      <c r="N15" s="56">
        <v>64.099999999999994</v>
      </c>
      <c r="O15" s="56">
        <v>70</v>
      </c>
      <c r="P15" s="56">
        <v>61.9</v>
      </c>
      <c r="Q15" s="56">
        <v>71.5</v>
      </c>
      <c r="R15" s="56">
        <v>60.2</v>
      </c>
      <c r="S15" s="56">
        <v>55.4</v>
      </c>
      <c r="T15" s="56">
        <v>65.400000000000006</v>
      </c>
      <c r="U15" s="56">
        <v>100</v>
      </c>
      <c r="V15" s="56">
        <v>82.6</v>
      </c>
      <c r="W15" s="56">
        <v>66</v>
      </c>
      <c r="X15" s="56">
        <v>52</v>
      </c>
      <c r="Y15" s="56">
        <v>60</v>
      </c>
      <c r="Z15" s="56">
        <f t="shared" si="8"/>
        <v>37.172065573770503</v>
      </c>
      <c r="AA15" s="74">
        <f t="shared" si="9"/>
        <v>66.378688524590203</v>
      </c>
      <c r="AB15" s="75"/>
      <c r="AC15" s="78"/>
      <c r="AD15" s="78"/>
      <c r="AE15" s="78"/>
      <c r="AF15" s="79"/>
      <c r="AG15" s="88"/>
      <c r="AH15" s="88"/>
      <c r="AI15" s="90"/>
      <c r="AJ15" s="90"/>
      <c r="AK15" s="90"/>
      <c r="AL15" s="90"/>
      <c r="AM15" s="90"/>
      <c r="AN15" s="90"/>
      <c r="AO15" s="88"/>
      <c r="AP15" s="88"/>
      <c r="AQ15" s="88"/>
      <c r="AR15" s="88"/>
      <c r="AS15" s="89">
        <f t="shared" si="10"/>
        <v>0</v>
      </c>
      <c r="AT15" s="198"/>
      <c r="AU15" s="96">
        <v>1.5</v>
      </c>
      <c r="AV15" s="96">
        <v>1.5</v>
      </c>
      <c r="AW15" s="96">
        <v>0</v>
      </c>
      <c r="AX15" s="96">
        <v>0</v>
      </c>
      <c r="AY15" s="96">
        <f t="shared" si="2"/>
        <v>3</v>
      </c>
      <c r="AZ15" s="96"/>
      <c r="BA15" s="96">
        <v>0</v>
      </c>
      <c r="BB15" s="96">
        <f t="shared" si="3"/>
        <v>0</v>
      </c>
      <c r="BC15" s="96">
        <v>1</v>
      </c>
      <c r="BD15" s="96"/>
      <c r="BE15" s="96">
        <v>0</v>
      </c>
      <c r="BF15" s="96">
        <v>0</v>
      </c>
      <c r="BG15" s="103">
        <f t="shared" si="4"/>
        <v>1</v>
      </c>
      <c r="BH15" s="103">
        <f t="shared" si="5"/>
        <v>4</v>
      </c>
      <c r="BI15" s="66" t="s">
        <v>144</v>
      </c>
      <c r="BJ15" s="97"/>
      <c r="BK15" s="104"/>
      <c r="BL15" s="97"/>
      <c r="BM15" s="97"/>
      <c r="BN15" s="105">
        <f t="shared" si="6"/>
        <v>50.172065573770503</v>
      </c>
      <c r="BO15" s="97"/>
    </row>
    <row r="16" spans="1:67" ht="15.25" customHeight="1">
      <c r="A16" s="15"/>
      <c r="B16" s="66" t="s">
        <v>145</v>
      </c>
      <c r="C16" s="193"/>
      <c r="D16" s="53">
        <v>9</v>
      </c>
      <c r="E16" s="53">
        <v>0</v>
      </c>
      <c r="F16" s="53">
        <v>0</v>
      </c>
      <c r="G16" s="53">
        <v>0</v>
      </c>
      <c r="H16" s="53">
        <f t="shared" si="7"/>
        <v>9</v>
      </c>
      <c r="I16" s="53">
        <v>-2</v>
      </c>
      <c r="J16" s="53">
        <v>0</v>
      </c>
      <c r="K16" s="53">
        <f t="shared" si="0"/>
        <v>-2</v>
      </c>
      <c r="L16" s="70">
        <f t="shared" si="1"/>
        <v>7</v>
      </c>
      <c r="M16" s="195"/>
      <c r="N16" s="56">
        <v>62.4</v>
      </c>
      <c r="O16" s="56">
        <v>70</v>
      </c>
      <c r="P16" s="56">
        <v>62</v>
      </c>
      <c r="Q16" s="56">
        <v>63.5</v>
      </c>
      <c r="R16" s="56">
        <v>64.8</v>
      </c>
      <c r="S16" s="56">
        <v>70</v>
      </c>
      <c r="T16" s="56">
        <v>60</v>
      </c>
      <c r="U16" s="56">
        <v>100</v>
      </c>
      <c r="V16" s="56">
        <v>80.7</v>
      </c>
      <c r="W16" s="56">
        <v>48.8</v>
      </c>
      <c r="X16" s="56">
        <v>75</v>
      </c>
      <c r="Y16" s="56">
        <v>0</v>
      </c>
      <c r="Z16" s="56">
        <f t="shared" si="8"/>
        <v>37.103213114754098</v>
      </c>
      <c r="AA16" s="74">
        <f t="shared" si="9"/>
        <v>66.255737704918005</v>
      </c>
      <c r="AB16" s="75"/>
      <c r="AC16" s="78"/>
      <c r="AD16" s="78"/>
      <c r="AE16" s="78"/>
      <c r="AF16" s="79"/>
      <c r="AG16" s="88"/>
      <c r="AH16" s="88"/>
      <c r="AI16" s="90"/>
      <c r="AJ16" s="90"/>
      <c r="AK16" s="90"/>
      <c r="AL16" s="90"/>
      <c r="AM16" s="90"/>
      <c r="AN16" s="90"/>
      <c r="AO16" s="88"/>
      <c r="AP16" s="88"/>
      <c r="AQ16" s="88"/>
      <c r="AR16" s="88"/>
      <c r="AS16" s="89">
        <f t="shared" si="10"/>
        <v>0</v>
      </c>
      <c r="AT16" s="198"/>
      <c r="AU16" s="96">
        <v>1.5</v>
      </c>
      <c r="AV16" s="96">
        <v>1.5</v>
      </c>
      <c r="AW16" s="96">
        <v>0</v>
      </c>
      <c r="AX16" s="96">
        <v>0</v>
      </c>
      <c r="AY16" s="96">
        <f t="shared" si="2"/>
        <v>3</v>
      </c>
      <c r="AZ16" s="96"/>
      <c r="BA16" s="96">
        <v>0</v>
      </c>
      <c r="BB16" s="96">
        <f t="shared" si="3"/>
        <v>0</v>
      </c>
      <c r="BC16" s="96">
        <v>1</v>
      </c>
      <c r="BD16" s="96"/>
      <c r="BE16" s="96">
        <v>0</v>
      </c>
      <c r="BF16" s="96">
        <v>0</v>
      </c>
      <c r="BG16" s="103">
        <f t="shared" si="4"/>
        <v>1</v>
      </c>
      <c r="BH16" s="103">
        <f t="shared" si="5"/>
        <v>4</v>
      </c>
      <c r="BI16" s="66" t="s">
        <v>145</v>
      </c>
      <c r="BJ16" s="97"/>
      <c r="BK16" s="104"/>
      <c r="BL16" s="97"/>
      <c r="BM16" s="97"/>
      <c r="BN16" s="105">
        <f t="shared" si="6"/>
        <v>48.103213114754098</v>
      </c>
      <c r="BO16" s="97"/>
    </row>
    <row r="17" spans="1:67" ht="15.25" customHeight="1">
      <c r="A17" s="15"/>
      <c r="B17" s="66" t="s">
        <v>146</v>
      </c>
      <c r="C17" s="193"/>
      <c r="D17" s="53">
        <v>9</v>
      </c>
      <c r="E17" s="53">
        <v>1.2</v>
      </c>
      <c r="F17" s="53">
        <v>0</v>
      </c>
      <c r="G17" s="53">
        <v>0</v>
      </c>
      <c r="H17" s="53">
        <f t="shared" si="7"/>
        <v>10.199999999999999</v>
      </c>
      <c r="I17" s="53">
        <v>0</v>
      </c>
      <c r="J17" s="53">
        <v>0</v>
      </c>
      <c r="K17" s="53">
        <f t="shared" si="0"/>
        <v>0</v>
      </c>
      <c r="L17" s="70">
        <f t="shared" si="1"/>
        <v>10.199999999999999</v>
      </c>
      <c r="M17" s="195"/>
      <c r="N17" s="56">
        <v>80.900000000000006</v>
      </c>
      <c r="O17" s="56">
        <v>70</v>
      </c>
      <c r="P17" s="56">
        <v>70.5</v>
      </c>
      <c r="Q17" s="56">
        <v>74</v>
      </c>
      <c r="R17" s="56">
        <v>85.2</v>
      </c>
      <c r="S17" s="56">
        <v>88.2</v>
      </c>
      <c r="T17" s="56">
        <v>65.599999999999994</v>
      </c>
      <c r="U17" s="56">
        <v>98.5</v>
      </c>
      <c r="V17" s="56">
        <v>87.5</v>
      </c>
      <c r="W17" s="56">
        <v>59.9</v>
      </c>
      <c r="X17" s="56">
        <v>78</v>
      </c>
      <c r="Y17" s="56">
        <v>60</v>
      </c>
      <c r="Z17" s="56">
        <f t="shared" si="8"/>
        <v>43.849836065573797</v>
      </c>
      <c r="AA17" s="74">
        <f t="shared" si="9"/>
        <v>78.3032786885246</v>
      </c>
      <c r="AB17" s="75"/>
      <c r="AC17" s="78"/>
      <c r="AD17" s="78"/>
      <c r="AE17" s="78"/>
      <c r="AF17" s="79"/>
      <c r="AG17" s="88"/>
      <c r="AH17" s="88"/>
      <c r="AI17" s="90"/>
      <c r="AJ17" s="90"/>
      <c r="AK17" s="90"/>
      <c r="AL17" s="90"/>
      <c r="AM17" s="90"/>
      <c r="AN17" s="90"/>
      <c r="AO17" s="88"/>
      <c r="AP17" s="88"/>
      <c r="AQ17" s="88"/>
      <c r="AR17" s="88"/>
      <c r="AS17" s="89">
        <f t="shared" si="10"/>
        <v>0</v>
      </c>
      <c r="AT17" s="198"/>
      <c r="AU17" s="96">
        <v>1.5</v>
      </c>
      <c r="AV17" s="96">
        <v>1.5</v>
      </c>
      <c r="AW17" s="96">
        <v>0</v>
      </c>
      <c r="AX17" s="96">
        <v>0</v>
      </c>
      <c r="AY17" s="96">
        <f t="shared" si="2"/>
        <v>3</v>
      </c>
      <c r="AZ17" s="96"/>
      <c r="BA17" s="96">
        <v>0</v>
      </c>
      <c r="BB17" s="96">
        <f t="shared" si="3"/>
        <v>0</v>
      </c>
      <c r="BC17" s="96">
        <v>1</v>
      </c>
      <c r="BD17" s="96"/>
      <c r="BE17" s="96">
        <v>0</v>
      </c>
      <c r="BF17" s="96">
        <v>0</v>
      </c>
      <c r="BG17" s="103">
        <f t="shared" si="4"/>
        <v>1</v>
      </c>
      <c r="BH17" s="103">
        <f t="shared" si="5"/>
        <v>4</v>
      </c>
      <c r="BI17" s="66" t="s">
        <v>146</v>
      </c>
      <c r="BJ17" s="97"/>
      <c r="BK17" s="104"/>
      <c r="BL17" s="97"/>
      <c r="BM17" s="97"/>
      <c r="BN17" s="105">
        <f t="shared" si="6"/>
        <v>58.0498360655738</v>
      </c>
      <c r="BO17" s="97"/>
    </row>
    <row r="18" spans="1:67" ht="15.25" customHeight="1">
      <c r="A18" s="15"/>
      <c r="B18" s="66" t="s">
        <v>147</v>
      </c>
      <c r="C18" s="193"/>
      <c r="D18" s="53">
        <v>9</v>
      </c>
      <c r="E18" s="53">
        <v>0</v>
      </c>
      <c r="F18" s="53">
        <v>0</v>
      </c>
      <c r="G18" s="53">
        <v>0</v>
      </c>
      <c r="H18" s="53">
        <f t="shared" si="7"/>
        <v>9</v>
      </c>
      <c r="I18" s="53">
        <v>0</v>
      </c>
      <c r="J18" s="53">
        <v>0</v>
      </c>
      <c r="K18" s="53">
        <f t="shared" si="0"/>
        <v>0</v>
      </c>
      <c r="L18" s="70">
        <f t="shared" si="1"/>
        <v>9</v>
      </c>
      <c r="M18" s="195"/>
      <c r="N18" s="56">
        <v>63</v>
      </c>
      <c r="O18" s="56">
        <v>60</v>
      </c>
      <c r="P18" s="56">
        <v>60</v>
      </c>
      <c r="Q18" s="56">
        <v>69</v>
      </c>
      <c r="R18" s="56">
        <v>66.2</v>
      </c>
      <c r="S18" s="56">
        <v>55.4</v>
      </c>
      <c r="T18" s="56">
        <v>61.3</v>
      </c>
      <c r="U18" s="56">
        <v>100</v>
      </c>
      <c r="V18" s="56">
        <v>74.900000000000006</v>
      </c>
      <c r="W18" s="56">
        <v>60.8</v>
      </c>
      <c r="X18" s="56">
        <v>71</v>
      </c>
      <c r="Y18" s="56">
        <v>0</v>
      </c>
      <c r="Z18" s="56">
        <f t="shared" si="8"/>
        <v>36.262295081967203</v>
      </c>
      <c r="AA18" s="74">
        <f t="shared" si="9"/>
        <v>64.754098360655703</v>
      </c>
      <c r="AB18" s="75"/>
      <c r="AC18" s="78"/>
      <c r="AD18" s="78"/>
      <c r="AE18" s="78"/>
      <c r="AF18" s="79"/>
      <c r="AG18" s="88"/>
      <c r="AH18" s="88"/>
      <c r="AI18" s="90"/>
      <c r="AJ18" s="90"/>
      <c r="AK18" s="90"/>
      <c r="AL18" s="90"/>
      <c r="AM18" s="90"/>
      <c r="AN18" s="90"/>
      <c r="AO18" s="88"/>
      <c r="AP18" s="88"/>
      <c r="AQ18" s="88"/>
      <c r="AR18" s="88"/>
      <c r="AS18" s="89">
        <f t="shared" si="10"/>
        <v>0</v>
      </c>
      <c r="AT18" s="198"/>
      <c r="AU18" s="96">
        <v>1.5</v>
      </c>
      <c r="AV18" s="96">
        <v>1.5</v>
      </c>
      <c r="AW18" s="96">
        <v>0</v>
      </c>
      <c r="AX18" s="96">
        <v>0</v>
      </c>
      <c r="AY18" s="96">
        <f t="shared" si="2"/>
        <v>3</v>
      </c>
      <c r="AZ18" s="96"/>
      <c r="BA18" s="96">
        <v>0</v>
      </c>
      <c r="BB18" s="96">
        <f t="shared" si="3"/>
        <v>0</v>
      </c>
      <c r="BC18" s="96">
        <v>1</v>
      </c>
      <c r="BD18" s="96"/>
      <c r="BE18" s="96">
        <v>0</v>
      </c>
      <c r="BF18" s="96">
        <v>0</v>
      </c>
      <c r="BG18" s="103">
        <f t="shared" si="4"/>
        <v>1</v>
      </c>
      <c r="BH18" s="103">
        <f t="shared" si="5"/>
        <v>4</v>
      </c>
      <c r="BI18" s="66" t="s">
        <v>147</v>
      </c>
      <c r="BJ18" s="97"/>
      <c r="BK18" s="104"/>
      <c r="BL18" s="97"/>
      <c r="BM18" s="97"/>
      <c r="BN18" s="105">
        <f t="shared" si="6"/>
        <v>49.262295081967203</v>
      </c>
      <c r="BO18" s="97"/>
    </row>
    <row r="19" spans="1:67" ht="15.25" customHeight="1">
      <c r="A19" s="15"/>
      <c r="B19" s="66" t="s">
        <v>148</v>
      </c>
      <c r="C19" s="193"/>
      <c r="D19" s="53">
        <v>9</v>
      </c>
      <c r="E19" s="53">
        <v>1</v>
      </c>
      <c r="F19" s="53">
        <v>2</v>
      </c>
      <c r="G19" s="53">
        <v>0</v>
      </c>
      <c r="H19" s="53">
        <f t="shared" si="7"/>
        <v>12</v>
      </c>
      <c r="I19" s="53">
        <v>0</v>
      </c>
      <c r="J19" s="53">
        <v>0</v>
      </c>
      <c r="K19" s="53">
        <f t="shared" si="0"/>
        <v>0</v>
      </c>
      <c r="L19" s="70">
        <f t="shared" si="1"/>
        <v>12</v>
      </c>
      <c r="M19" s="195"/>
      <c r="N19" s="56">
        <v>91.5</v>
      </c>
      <c r="O19" s="56">
        <v>80</v>
      </c>
      <c r="P19" s="56">
        <v>91</v>
      </c>
      <c r="Q19" s="56">
        <v>85.5</v>
      </c>
      <c r="R19" s="56">
        <v>98</v>
      </c>
      <c r="S19" s="56">
        <v>97</v>
      </c>
      <c r="T19" s="56">
        <v>83.9</v>
      </c>
      <c r="U19" s="56">
        <v>100</v>
      </c>
      <c r="V19" s="56">
        <v>86.1</v>
      </c>
      <c r="W19" s="56">
        <v>75.8</v>
      </c>
      <c r="X19" s="56">
        <v>92</v>
      </c>
      <c r="Y19" s="56">
        <v>60</v>
      </c>
      <c r="Z19" s="56">
        <f t="shared" si="8"/>
        <v>50.905147540983599</v>
      </c>
      <c r="AA19" s="74">
        <f t="shared" si="9"/>
        <v>89.277049180327893</v>
      </c>
      <c r="AB19" s="75"/>
      <c r="AC19" s="78">
        <v>1.5</v>
      </c>
      <c r="AD19" s="78"/>
      <c r="AE19" s="78"/>
      <c r="AF19" s="79">
        <v>5</v>
      </c>
      <c r="AG19" s="88"/>
      <c r="AH19" s="88"/>
      <c r="AI19" s="90"/>
      <c r="AJ19" s="90"/>
      <c r="AK19" s="90"/>
      <c r="AL19" s="90"/>
      <c r="AM19" s="90"/>
      <c r="AN19" s="90"/>
      <c r="AO19" s="88"/>
      <c r="AP19" s="88"/>
      <c r="AQ19" s="88"/>
      <c r="AR19" s="88"/>
      <c r="AS19" s="89">
        <f t="shared" si="10"/>
        <v>6.5</v>
      </c>
      <c r="AT19" s="198"/>
      <c r="AU19" s="96">
        <v>1.5</v>
      </c>
      <c r="AV19" s="96">
        <v>1.5</v>
      </c>
      <c r="AW19" s="96">
        <v>0</v>
      </c>
      <c r="AX19" s="96">
        <v>0</v>
      </c>
      <c r="AY19" s="96">
        <f t="shared" si="2"/>
        <v>3</v>
      </c>
      <c r="AZ19" s="96"/>
      <c r="BA19" s="96">
        <v>0.8</v>
      </c>
      <c r="BB19" s="96">
        <f t="shared" si="3"/>
        <v>0.8</v>
      </c>
      <c r="BC19" s="96">
        <v>1</v>
      </c>
      <c r="BD19" s="96"/>
      <c r="BE19" s="96">
        <v>1.4</v>
      </c>
      <c r="BF19" s="96">
        <v>0</v>
      </c>
      <c r="BG19" s="103">
        <f t="shared" si="4"/>
        <v>2.4</v>
      </c>
      <c r="BH19" s="103">
        <f t="shared" si="5"/>
        <v>6.2</v>
      </c>
      <c r="BI19" s="66" t="s">
        <v>148</v>
      </c>
      <c r="BJ19" s="97"/>
      <c r="BK19" s="104"/>
      <c r="BL19" s="97"/>
      <c r="BM19" s="97"/>
      <c r="BN19" s="105">
        <f t="shared" si="6"/>
        <v>69.105147540983594</v>
      </c>
      <c r="BO19" s="97"/>
    </row>
    <row r="20" spans="1:67" ht="15.25" customHeight="1">
      <c r="A20" s="15"/>
      <c r="B20" s="66" t="s">
        <v>149</v>
      </c>
      <c r="C20" s="193"/>
      <c r="D20" s="53">
        <v>9</v>
      </c>
      <c r="E20" s="53">
        <v>0</v>
      </c>
      <c r="F20" s="53">
        <v>0</v>
      </c>
      <c r="G20" s="53">
        <v>0</v>
      </c>
      <c r="H20" s="53">
        <f t="shared" si="7"/>
        <v>9</v>
      </c>
      <c r="I20" s="53">
        <v>-2</v>
      </c>
      <c r="J20" s="53">
        <v>0</v>
      </c>
      <c r="K20" s="53">
        <f t="shared" si="0"/>
        <v>-2</v>
      </c>
      <c r="L20" s="70">
        <f t="shared" si="1"/>
        <v>7</v>
      </c>
      <c r="M20" s="195"/>
      <c r="N20" s="56">
        <v>60</v>
      </c>
      <c r="O20" s="56">
        <v>70</v>
      </c>
      <c r="P20" s="56">
        <v>60</v>
      </c>
      <c r="Q20" s="56">
        <v>71.5</v>
      </c>
      <c r="R20" s="56">
        <v>64.8</v>
      </c>
      <c r="S20" s="56">
        <v>73.400000000000006</v>
      </c>
      <c r="T20" s="56">
        <v>69.3</v>
      </c>
      <c r="U20" s="56">
        <v>50</v>
      </c>
      <c r="V20" s="56">
        <v>80.5</v>
      </c>
      <c r="W20" s="56">
        <v>69.5</v>
      </c>
      <c r="X20" s="56">
        <v>80</v>
      </c>
      <c r="Y20" s="56">
        <v>60</v>
      </c>
      <c r="Z20" s="56">
        <f t="shared" si="8"/>
        <v>38.076327868852502</v>
      </c>
      <c r="AA20" s="74">
        <f t="shared" si="9"/>
        <v>67.993442622950795</v>
      </c>
      <c r="AB20" s="75"/>
      <c r="AC20" s="78"/>
      <c r="AD20" s="78"/>
      <c r="AE20" s="78"/>
      <c r="AF20" s="79"/>
      <c r="AG20" s="88"/>
      <c r="AH20" s="88"/>
      <c r="AI20" s="90"/>
      <c r="AJ20" s="90"/>
      <c r="AK20" s="90"/>
      <c r="AL20" s="90"/>
      <c r="AM20" s="90"/>
      <c r="AN20" s="90"/>
      <c r="AO20" s="88"/>
      <c r="AP20" s="88"/>
      <c r="AQ20" s="88"/>
      <c r="AR20" s="88"/>
      <c r="AS20" s="89">
        <f t="shared" si="10"/>
        <v>0</v>
      </c>
      <c r="AT20" s="198"/>
      <c r="AU20" s="96">
        <v>1.5</v>
      </c>
      <c r="AV20" s="96">
        <v>1.5</v>
      </c>
      <c r="AW20" s="96">
        <v>0</v>
      </c>
      <c r="AX20" s="96">
        <v>0</v>
      </c>
      <c r="AY20" s="96">
        <f t="shared" si="2"/>
        <v>3</v>
      </c>
      <c r="AZ20" s="96"/>
      <c r="BA20" s="96">
        <v>0.8</v>
      </c>
      <c r="BB20" s="96">
        <f t="shared" si="3"/>
        <v>0.8</v>
      </c>
      <c r="BC20" s="96">
        <v>1</v>
      </c>
      <c r="BD20" s="96"/>
      <c r="BE20" s="96">
        <v>0</v>
      </c>
      <c r="BF20" s="96">
        <v>0</v>
      </c>
      <c r="BG20" s="103">
        <f t="shared" si="4"/>
        <v>1</v>
      </c>
      <c r="BH20" s="103">
        <f t="shared" si="5"/>
        <v>4.8</v>
      </c>
      <c r="BI20" s="66" t="s">
        <v>149</v>
      </c>
      <c r="BJ20" s="97"/>
      <c r="BK20" s="104"/>
      <c r="BL20" s="97"/>
      <c r="BM20" s="97"/>
      <c r="BN20" s="105">
        <f>BH20+Z20+BM1</f>
        <v>42.876327868852499</v>
      </c>
      <c r="BO20" s="97"/>
    </row>
    <row r="21" spans="1:67" ht="15.25" customHeight="1">
      <c r="A21" s="15"/>
      <c r="B21" s="66" t="s">
        <v>150</v>
      </c>
      <c r="C21" s="193"/>
      <c r="D21" s="53">
        <v>9</v>
      </c>
      <c r="E21" s="53">
        <v>0</v>
      </c>
      <c r="F21" s="53">
        <v>0</v>
      </c>
      <c r="G21" s="53">
        <v>0</v>
      </c>
      <c r="H21" s="53">
        <f t="shared" si="7"/>
        <v>9</v>
      </c>
      <c r="I21" s="53">
        <v>0</v>
      </c>
      <c r="J21" s="53">
        <v>0</v>
      </c>
      <c r="K21" s="53">
        <f t="shared" si="0"/>
        <v>0</v>
      </c>
      <c r="L21" s="70">
        <f t="shared" si="1"/>
        <v>9</v>
      </c>
      <c r="M21" s="195"/>
      <c r="N21" s="56">
        <v>60</v>
      </c>
      <c r="O21" s="56">
        <v>0</v>
      </c>
      <c r="P21" s="56">
        <v>63.2</v>
      </c>
      <c r="Q21" s="56">
        <v>68.5</v>
      </c>
      <c r="R21" s="56">
        <v>60.2</v>
      </c>
      <c r="S21" s="56">
        <v>60</v>
      </c>
      <c r="T21" s="56">
        <v>70.599999999999994</v>
      </c>
      <c r="U21" s="56">
        <v>100</v>
      </c>
      <c r="V21" s="56">
        <v>81.7</v>
      </c>
      <c r="W21" s="56">
        <v>74.3</v>
      </c>
      <c r="X21" s="56">
        <v>63</v>
      </c>
      <c r="Y21" s="56">
        <v>60</v>
      </c>
      <c r="Z21" s="56">
        <f t="shared" si="8"/>
        <v>37.916912280701801</v>
      </c>
      <c r="AA21" s="74">
        <f>(P21*2+Q21*4+R21*4+S21*3+T21*3+N21*3.5+V21*2+W21*1+X21*3+Y21*1+U21*2)/(4+4+2+3+3+2+3.5+1+3+1+2)</f>
        <v>67.708771929824593</v>
      </c>
      <c r="AB21" s="75"/>
      <c r="AC21" s="78"/>
      <c r="AD21" s="78"/>
      <c r="AE21" s="78"/>
      <c r="AF21" s="79"/>
      <c r="AG21" s="88"/>
      <c r="AH21" s="88"/>
      <c r="AI21" s="90"/>
      <c r="AJ21" s="90"/>
      <c r="AK21" s="90"/>
      <c r="AL21" s="90"/>
      <c r="AM21" s="90"/>
      <c r="AN21" s="90"/>
      <c r="AO21" s="88"/>
      <c r="AP21" s="88"/>
      <c r="AQ21" s="88"/>
      <c r="AR21" s="88"/>
      <c r="AS21" s="89">
        <f t="shared" si="10"/>
        <v>0</v>
      </c>
      <c r="AT21" s="198"/>
      <c r="AU21" s="96">
        <v>1.5</v>
      </c>
      <c r="AV21" s="96">
        <v>1.5</v>
      </c>
      <c r="AW21" s="96">
        <v>0</v>
      </c>
      <c r="AX21" s="96">
        <v>0</v>
      </c>
      <c r="AY21" s="96">
        <f t="shared" si="2"/>
        <v>3</v>
      </c>
      <c r="AZ21" s="96"/>
      <c r="BA21" s="96">
        <v>0</v>
      </c>
      <c r="BB21" s="96">
        <f t="shared" si="3"/>
        <v>0</v>
      </c>
      <c r="BC21" s="96">
        <v>1</v>
      </c>
      <c r="BD21" s="96"/>
      <c r="BE21" s="96">
        <v>0</v>
      </c>
      <c r="BF21" s="96">
        <v>0</v>
      </c>
      <c r="BG21" s="103">
        <f t="shared" si="4"/>
        <v>1</v>
      </c>
      <c r="BH21" s="103">
        <f t="shared" si="5"/>
        <v>4</v>
      </c>
      <c r="BI21" s="66" t="s">
        <v>150</v>
      </c>
      <c r="BJ21" s="97"/>
      <c r="BK21" s="104"/>
      <c r="BL21" s="97"/>
      <c r="BM21" s="97"/>
      <c r="BN21" s="105">
        <f t="shared" ref="BN21:BN48" si="11">BH21+Z21+L21</f>
        <v>50.916912280701801</v>
      </c>
      <c r="BO21" s="97"/>
    </row>
    <row r="22" spans="1:67" ht="14.15" customHeight="1">
      <c r="A22" s="15"/>
      <c r="B22" s="66" t="s">
        <v>151</v>
      </c>
      <c r="C22" s="193"/>
      <c r="D22" s="53">
        <v>9</v>
      </c>
      <c r="E22" s="53">
        <v>0</v>
      </c>
      <c r="F22" s="53">
        <v>0</v>
      </c>
      <c r="G22" s="53">
        <v>0</v>
      </c>
      <c r="H22" s="53">
        <f t="shared" si="7"/>
        <v>9</v>
      </c>
      <c r="I22" s="53">
        <v>0</v>
      </c>
      <c r="J22" s="53">
        <v>0</v>
      </c>
      <c r="K22" s="53">
        <f t="shared" si="0"/>
        <v>0</v>
      </c>
      <c r="L22" s="70">
        <f t="shared" si="1"/>
        <v>9</v>
      </c>
      <c r="M22" s="195"/>
      <c r="N22" s="56">
        <v>63.3</v>
      </c>
      <c r="O22" s="56">
        <v>0</v>
      </c>
      <c r="P22" s="56">
        <v>63.4</v>
      </c>
      <c r="Q22" s="56">
        <v>64.3</v>
      </c>
      <c r="R22" s="56">
        <v>62.4</v>
      </c>
      <c r="S22" s="56">
        <v>80.8</v>
      </c>
      <c r="T22" s="56">
        <v>0</v>
      </c>
      <c r="U22" s="56">
        <v>90.4</v>
      </c>
      <c r="V22" s="56">
        <v>85</v>
      </c>
      <c r="W22" s="56">
        <v>66.3</v>
      </c>
      <c r="X22" s="56">
        <v>75</v>
      </c>
      <c r="Y22" s="56">
        <v>60</v>
      </c>
      <c r="Z22" s="56">
        <f t="shared" si="8"/>
        <v>39.521725490196097</v>
      </c>
      <c r="AA22" s="74">
        <f>(P22*2+Q22*4+R22*4+S22*3+U22*2+N22*3.5+V22*2+W22*1+X22*3+Y22*1)/(4+4+3+2+3.5+2+1+3+1+2)</f>
        <v>70.5745098039216</v>
      </c>
      <c r="AB22" s="75"/>
      <c r="AC22" s="78"/>
      <c r="AD22" s="78"/>
      <c r="AE22" s="78"/>
      <c r="AF22" s="79"/>
      <c r="AG22" s="88"/>
      <c r="AH22" s="88"/>
      <c r="AI22" s="90"/>
      <c r="AJ22" s="90"/>
      <c r="AK22" s="90"/>
      <c r="AL22" s="90"/>
      <c r="AM22" s="90"/>
      <c r="AN22" s="90"/>
      <c r="AO22" s="88"/>
      <c r="AP22" s="88"/>
      <c r="AQ22" s="88"/>
      <c r="AR22" s="88"/>
      <c r="AS22" s="89">
        <f t="shared" si="10"/>
        <v>0</v>
      </c>
      <c r="AT22" s="198"/>
      <c r="AU22" s="96">
        <v>1.5</v>
      </c>
      <c r="AV22" s="96">
        <v>1.5</v>
      </c>
      <c r="AW22" s="96">
        <v>0</v>
      </c>
      <c r="AX22" s="96">
        <v>0</v>
      </c>
      <c r="AY22" s="96">
        <f t="shared" si="2"/>
        <v>3</v>
      </c>
      <c r="AZ22" s="96"/>
      <c r="BA22" s="96">
        <v>0</v>
      </c>
      <c r="BB22" s="96">
        <f t="shared" si="3"/>
        <v>0</v>
      </c>
      <c r="BC22" s="96">
        <v>1</v>
      </c>
      <c r="BD22" s="96"/>
      <c r="BE22" s="96">
        <v>0</v>
      </c>
      <c r="BF22" s="96">
        <v>0</v>
      </c>
      <c r="BG22" s="103">
        <f t="shared" si="4"/>
        <v>1</v>
      </c>
      <c r="BH22" s="103">
        <f t="shared" si="5"/>
        <v>4</v>
      </c>
      <c r="BI22" s="66" t="s">
        <v>151</v>
      </c>
      <c r="BJ22" s="97"/>
      <c r="BK22" s="104"/>
      <c r="BL22" s="97"/>
      <c r="BM22" s="97"/>
      <c r="BN22" s="105">
        <f t="shared" si="11"/>
        <v>52.521725490196097</v>
      </c>
      <c r="BO22" s="97"/>
    </row>
    <row r="23" spans="1:67" ht="15.25" customHeight="1">
      <c r="A23" s="15"/>
      <c r="B23" s="66" t="s">
        <v>152</v>
      </c>
      <c r="C23" s="193"/>
      <c r="D23" s="53">
        <v>9</v>
      </c>
      <c r="E23" s="53">
        <v>0</v>
      </c>
      <c r="F23" s="53">
        <v>0</v>
      </c>
      <c r="G23" s="53">
        <v>0</v>
      </c>
      <c r="H23" s="53">
        <f t="shared" si="7"/>
        <v>9</v>
      </c>
      <c r="I23" s="53">
        <v>0</v>
      </c>
      <c r="J23" s="53">
        <v>0</v>
      </c>
      <c r="K23" s="53">
        <f t="shared" si="0"/>
        <v>0</v>
      </c>
      <c r="L23" s="70">
        <f t="shared" si="1"/>
        <v>9</v>
      </c>
      <c r="M23" s="195"/>
      <c r="N23" s="56">
        <v>61.1</v>
      </c>
      <c r="O23" s="56">
        <v>0</v>
      </c>
      <c r="P23" s="56">
        <v>65.7</v>
      </c>
      <c r="Q23" s="56">
        <v>70.099999999999994</v>
      </c>
      <c r="R23" s="56">
        <v>79</v>
      </c>
      <c r="S23" s="56">
        <v>62.2</v>
      </c>
      <c r="T23" s="56">
        <v>0</v>
      </c>
      <c r="U23" s="56">
        <v>0</v>
      </c>
      <c r="V23" s="56">
        <v>86.1</v>
      </c>
      <c r="W23" s="56">
        <v>52.3</v>
      </c>
      <c r="X23" s="56">
        <v>65</v>
      </c>
      <c r="Y23" s="56">
        <v>60</v>
      </c>
      <c r="Z23" s="56">
        <f t="shared" si="8"/>
        <v>38.3123404255319</v>
      </c>
      <c r="AA23" s="74">
        <f>(P23*2+Q23*4+R23*4+S23*3+N23*3.5+V23*2+W23*1+X23*3+Y23*1)/(4+4+3+3.5+2+1+3+1+2)</f>
        <v>68.414893617021306</v>
      </c>
      <c r="AB23" s="75"/>
      <c r="AC23" s="78"/>
      <c r="AD23" s="78"/>
      <c r="AE23" s="78"/>
      <c r="AF23" s="79"/>
      <c r="AG23" s="88"/>
      <c r="AH23" s="88"/>
      <c r="AI23" s="90"/>
      <c r="AJ23" s="90"/>
      <c r="AK23" s="90"/>
      <c r="AL23" s="90"/>
      <c r="AM23" s="90"/>
      <c r="AN23" s="90"/>
      <c r="AO23" s="88"/>
      <c r="AP23" s="88"/>
      <c r="AQ23" s="88"/>
      <c r="AR23" s="88"/>
      <c r="AS23" s="89">
        <f t="shared" si="10"/>
        <v>0</v>
      </c>
      <c r="AT23" s="198"/>
      <c r="AU23" s="96">
        <v>1.5</v>
      </c>
      <c r="AV23" s="96">
        <v>1.5</v>
      </c>
      <c r="AW23" s="96">
        <v>0</v>
      </c>
      <c r="AX23" s="96">
        <v>0</v>
      </c>
      <c r="AY23" s="96">
        <f t="shared" si="2"/>
        <v>3</v>
      </c>
      <c r="AZ23" s="96"/>
      <c r="BA23" s="96">
        <v>0</v>
      </c>
      <c r="BB23" s="96">
        <f t="shared" si="3"/>
        <v>0</v>
      </c>
      <c r="BC23" s="96">
        <v>1</v>
      </c>
      <c r="BD23" s="96"/>
      <c r="BE23" s="96">
        <v>0</v>
      </c>
      <c r="BF23" s="96">
        <v>0</v>
      </c>
      <c r="BG23" s="103">
        <f t="shared" si="4"/>
        <v>1</v>
      </c>
      <c r="BH23" s="103">
        <f t="shared" si="5"/>
        <v>4</v>
      </c>
      <c r="BI23" s="66" t="s">
        <v>152</v>
      </c>
      <c r="BJ23" s="97"/>
      <c r="BK23" s="104"/>
      <c r="BL23" s="97"/>
      <c r="BM23" s="97"/>
      <c r="BN23" s="105">
        <f t="shared" si="11"/>
        <v>51.3123404255319</v>
      </c>
      <c r="BO23" s="97"/>
    </row>
    <row r="24" spans="1:67" ht="15.25" customHeight="1">
      <c r="A24" s="15"/>
      <c r="B24" s="66" t="s">
        <v>153</v>
      </c>
      <c r="C24" s="193"/>
      <c r="D24" s="53">
        <v>9</v>
      </c>
      <c r="E24" s="53">
        <v>0</v>
      </c>
      <c r="F24" s="53">
        <v>2</v>
      </c>
      <c r="G24" s="53">
        <v>0</v>
      </c>
      <c r="H24" s="53">
        <f t="shared" si="7"/>
        <v>11</v>
      </c>
      <c r="I24" s="53">
        <v>0</v>
      </c>
      <c r="J24" s="53">
        <v>0</v>
      </c>
      <c r="K24" s="53">
        <f t="shared" si="0"/>
        <v>0</v>
      </c>
      <c r="L24" s="70">
        <f t="shared" si="1"/>
        <v>11</v>
      </c>
      <c r="M24" s="195"/>
      <c r="N24" s="56">
        <v>78.3</v>
      </c>
      <c r="O24" s="56">
        <v>0</v>
      </c>
      <c r="P24" s="56">
        <v>77</v>
      </c>
      <c r="Q24" s="56">
        <v>68</v>
      </c>
      <c r="R24" s="56">
        <v>70.8</v>
      </c>
      <c r="S24" s="56">
        <v>78.8</v>
      </c>
      <c r="T24" s="56">
        <v>0</v>
      </c>
      <c r="U24" s="56">
        <v>99.9</v>
      </c>
      <c r="V24" s="56">
        <v>83.9</v>
      </c>
      <c r="W24" s="56">
        <v>80</v>
      </c>
      <c r="X24" s="56">
        <v>75</v>
      </c>
      <c r="Y24" s="56">
        <v>60</v>
      </c>
      <c r="Z24" s="56">
        <f t="shared" si="8"/>
        <v>43.992941176470602</v>
      </c>
      <c r="AA24" s="74">
        <f>(P24*2+Q24*4+R24*4+S24*3+U24*2+N24*3.5+V24*2+W24*1+X24*3+Y24*1)/(4+4+3+2+3.5+2+1+3+1+2)</f>
        <v>76.558823529411796</v>
      </c>
      <c r="AB24" s="75"/>
      <c r="AC24" s="78"/>
      <c r="AD24" s="78"/>
      <c r="AE24" s="78"/>
      <c r="AF24" s="79"/>
      <c r="AG24" s="88"/>
      <c r="AH24" s="88">
        <v>1.5</v>
      </c>
      <c r="AI24" s="90">
        <v>6.5</v>
      </c>
      <c r="AJ24" s="90"/>
      <c r="AK24" s="90"/>
      <c r="AL24" s="90"/>
      <c r="AM24" s="90"/>
      <c r="AN24" s="90"/>
      <c r="AO24" s="88"/>
      <c r="AP24" s="88"/>
      <c r="AQ24" s="88"/>
      <c r="AR24" s="88"/>
      <c r="AS24" s="89">
        <f t="shared" si="10"/>
        <v>8</v>
      </c>
      <c r="AT24" s="198"/>
      <c r="AU24" s="96">
        <v>1.5</v>
      </c>
      <c r="AV24" s="96">
        <v>1.5</v>
      </c>
      <c r="AW24" s="96">
        <v>0</v>
      </c>
      <c r="AX24" s="96">
        <v>0</v>
      </c>
      <c r="AY24" s="96">
        <f t="shared" si="2"/>
        <v>3</v>
      </c>
      <c r="AZ24" s="96"/>
      <c r="BA24" s="96">
        <v>0</v>
      </c>
      <c r="BB24" s="96">
        <f t="shared" si="3"/>
        <v>0</v>
      </c>
      <c r="BC24" s="96">
        <v>1</v>
      </c>
      <c r="BD24" s="96"/>
      <c r="BE24" s="96">
        <v>1.2</v>
      </c>
      <c r="BF24" s="96">
        <v>0</v>
      </c>
      <c r="BG24" s="103">
        <f t="shared" si="4"/>
        <v>2.2000000000000002</v>
      </c>
      <c r="BH24" s="103">
        <f t="shared" si="5"/>
        <v>5.2</v>
      </c>
      <c r="BI24" s="66" t="s">
        <v>153</v>
      </c>
      <c r="BJ24" s="97"/>
      <c r="BK24" s="104"/>
      <c r="BL24" s="97"/>
      <c r="BM24" s="97"/>
      <c r="BN24" s="105">
        <f t="shared" si="11"/>
        <v>60.192941176470597</v>
      </c>
      <c r="BO24" s="97"/>
    </row>
    <row r="25" spans="1:67" ht="15.25" customHeight="1">
      <c r="A25" s="15"/>
      <c r="B25" s="66" t="s">
        <v>154</v>
      </c>
      <c r="C25" s="193"/>
      <c r="D25" s="53">
        <v>9</v>
      </c>
      <c r="E25" s="53">
        <v>1</v>
      </c>
      <c r="F25" s="53">
        <v>0</v>
      </c>
      <c r="G25" s="53">
        <v>2.5</v>
      </c>
      <c r="H25" s="53">
        <f t="shared" si="7"/>
        <v>12.5</v>
      </c>
      <c r="I25" s="53"/>
      <c r="J25" s="53"/>
      <c r="K25" s="53">
        <f t="shared" si="0"/>
        <v>0</v>
      </c>
      <c r="L25" s="70">
        <f t="shared" si="1"/>
        <v>12.5</v>
      </c>
      <c r="M25" s="195"/>
      <c r="N25" s="56">
        <v>86.7</v>
      </c>
      <c r="O25" s="56">
        <v>70</v>
      </c>
      <c r="P25" s="56">
        <v>65.400000000000006</v>
      </c>
      <c r="Q25" s="56">
        <v>81.5</v>
      </c>
      <c r="R25" s="56">
        <v>65.2</v>
      </c>
      <c r="S25" s="56">
        <v>83.8</v>
      </c>
      <c r="T25" s="56">
        <v>77</v>
      </c>
      <c r="U25" s="56">
        <v>100</v>
      </c>
      <c r="V25" s="56">
        <v>85.1</v>
      </c>
      <c r="W25" s="56">
        <v>82.1</v>
      </c>
      <c r="X25" s="56">
        <v>83</v>
      </c>
      <c r="Y25" s="56">
        <v>60</v>
      </c>
      <c r="Z25" s="56">
        <f t="shared" si="8"/>
        <v>45.410350877192997</v>
      </c>
      <c r="AA25" s="74">
        <f>(P25*2+Q25*4+R25*4+S25*3+U25*2+N25*3.5+V25*2+W25*1+X25*3+Y25*1+T25*3)/(4+4+3+2+3.5+2+1+3+1+2+3)</f>
        <v>79.464912280701796</v>
      </c>
      <c r="AB25" s="75"/>
      <c r="AC25" s="78">
        <v>1.5</v>
      </c>
      <c r="AD25" s="78"/>
      <c r="AE25" s="78"/>
      <c r="AF25" s="79">
        <v>5</v>
      </c>
      <c r="AG25" s="88"/>
      <c r="AH25" s="88"/>
      <c r="AI25" s="90"/>
      <c r="AJ25" s="90"/>
      <c r="AK25" s="90"/>
      <c r="AL25" s="90"/>
      <c r="AM25" s="90"/>
      <c r="AN25" s="90"/>
      <c r="AO25" s="88"/>
      <c r="AP25" s="88"/>
      <c r="AQ25" s="88"/>
      <c r="AR25" s="88"/>
      <c r="AS25" s="89">
        <f t="shared" si="10"/>
        <v>6.5</v>
      </c>
      <c r="AT25" s="198"/>
      <c r="AU25" s="96">
        <v>1.5</v>
      </c>
      <c r="AV25" s="96">
        <v>1.5</v>
      </c>
      <c r="AW25" s="96">
        <v>0</v>
      </c>
      <c r="AX25" s="96">
        <v>0</v>
      </c>
      <c r="AY25" s="96">
        <f t="shared" si="2"/>
        <v>3</v>
      </c>
      <c r="AZ25" s="96"/>
      <c r="BA25" s="96">
        <v>0</v>
      </c>
      <c r="BB25" s="96">
        <f t="shared" si="3"/>
        <v>0</v>
      </c>
      <c r="BC25" s="96">
        <v>1.5</v>
      </c>
      <c r="BD25" s="96"/>
      <c r="BE25" s="96">
        <v>2.4</v>
      </c>
      <c r="BF25" s="96">
        <v>0</v>
      </c>
      <c r="BG25" s="103">
        <f t="shared" si="4"/>
        <v>3.9</v>
      </c>
      <c r="BH25" s="103">
        <f t="shared" si="5"/>
        <v>6.9</v>
      </c>
      <c r="BI25" s="66" t="s">
        <v>154</v>
      </c>
      <c r="BJ25" s="97"/>
      <c r="BK25" s="104"/>
      <c r="BL25" s="97"/>
      <c r="BM25" s="97"/>
      <c r="BN25" s="105">
        <f t="shared" si="11"/>
        <v>64.810350877193002</v>
      </c>
      <c r="BO25" s="97"/>
    </row>
    <row r="26" spans="1:67" ht="15.25" customHeight="1">
      <c r="A26" s="15"/>
      <c r="B26" s="42" t="s">
        <v>155</v>
      </c>
      <c r="C26" s="193"/>
      <c r="D26" s="53">
        <v>9</v>
      </c>
      <c r="E26" s="53">
        <v>1.7</v>
      </c>
      <c r="F26" s="53">
        <v>0</v>
      </c>
      <c r="G26" s="53"/>
      <c r="H26" s="53">
        <f t="shared" si="7"/>
        <v>10.7</v>
      </c>
      <c r="I26" s="53"/>
      <c r="J26" s="53"/>
      <c r="K26" s="53">
        <f t="shared" si="0"/>
        <v>0</v>
      </c>
      <c r="L26" s="70">
        <f t="shared" si="1"/>
        <v>10.7</v>
      </c>
      <c r="M26" s="195"/>
      <c r="N26" s="56">
        <v>39</v>
      </c>
      <c r="O26" s="56">
        <v>70</v>
      </c>
      <c r="P26" s="56">
        <v>63.7</v>
      </c>
      <c r="Q26" s="56">
        <v>67.5</v>
      </c>
      <c r="R26" s="56">
        <v>65.400000000000006</v>
      </c>
      <c r="S26" s="56">
        <v>52.4</v>
      </c>
      <c r="T26" s="56">
        <v>60.1</v>
      </c>
      <c r="U26" s="56">
        <v>97.9</v>
      </c>
      <c r="V26" s="56">
        <v>77.7</v>
      </c>
      <c r="W26" s="56">
        <v>75.8</v>
      </c>
      <c r="X26" s="56">
        <v>57</v>
      </c>
      <c r="Y26" s="56">
        <v>60</v>
      </c>
      <c r="Z26" s="56">
        <f t="shared" si="8"/>
        <v>35.191578947368399</v>
      </c>
      <c r="AA26" s="74">
        <f t="shared" ref="AA26:AA44" si="12">(P26*2+Q26*4+R26*4+S26*3+U26*2+N26*3.5+V26*2+W26*1+X26*3+Y26*1+T26*3)/(4+4+3+2+3.5+2+1+3+1+2+3)</f>
        <v>62.842105263157897</v>
      </c>
      <c r="AB26" s="75"/>
      <c r="AC26" s="79"/>
      <c r="AD26" s="79"/>
      <c r="AE26" s="79"/>
      <c r="AF26" s="79"/>
      <c r="AG26" s="88"/>
      <c r="AH26" s="88"/>
      <c r="AI26" s="90"/>
      <c r="AJ26" s="90"/>
      <c r="AK26" s="90"/>
      <c r="AL26" s="90"/>
      <c r="AM26" s="90"/>
      <c r="AN26" s="90"/>
      <c r="AO26" s="88"/>
      <c r="AP26" s="88"/>
      <c r="AQ26" s="88"/>
      <c r="AR26" s="88"/>
      <c r="AS26" s="89">
        <f t="shared" si="10"/>
        <v>0</v>
      </c>
      <c r="AT26" s="198"/>
      <c r="AU26" s="96">
        <v>1.5</v>
      </c>
      <c r="AV26" s="97">
        <v>1.5</v>
      </c>
      <c r="AW26" s="96">
        <v>0</v>
      </c>
      <c r="AX26" s="96">
        <v>0</v>
      </c>
      <c r="AY26" s="96">
        <f t="shared" si="2"/>
        <v>3</v>
      </c>
      <c r="AZ26" s="96"/>
      <c r="BA26" s="96">
        <v>0.8</v>
      </c>
      <c r="BB26" s="96">
        <f t="shared" si="3"/>
        <v>0.8</v>
      </c>
      <c r="BC26" s="96">
        <v>1</v>
      </c>
      <c r="BD26" s="96"/>
      <c r="BE26" s="96">
        <v>1</v>
      </c>
      <c r="BF26" s="96">
        <v>0</v>
      </c>
      <c r="BG26" s="103">
        <f t="shared" si="4"/>
        <v>2</v>
      </c>
      <c r="BH26" s="103">
        <f t="shared" si="5"/>
        <v>5.8</v>
      </c>
      <c r="BI26" s="42" t="s">
        <v>155</v>
      </c>
      <c r="BJ26" s="97"/>
      <c r="BK26" s="104"/>
      <c r="BL26" s="97"/>
      <c r="BM26" s="97"/>
      <c r="BN26" s="105">
        <f t="shared" si="11"/>
        <v>51.691578947368399</v>
      </c>
      <c r="BO26" s="97"/>
    </row>
    <row r="27" spans="1:67" ht="14.5" customHeight="1">
      <c r="A27" s="15"/>
      <c r="B27" s="42" t="s">
        <v>156</v>
      </c>
      <c r="C27" s="193"/>
      <c r="D27" s="53">
        <v>9</v>
      </c>
      <c r="E27" s="53">
        <v>1</v>
      </c>
      <c r="F27" s="53">
        <v>0</v>
      </c>
      <c r="G27" s="53"/>
      <c r="H27" s="53">
        <f t="shared" si="7"/>
        <v>10</v>
      </c>
      <c r="I27" s="53"/>
      <c r="J27" s="53"/>
      <c r="K27" s="53">
        <f t="shared" si="0"/>
        <v>0</v>
      </c>
      <c r="L27" s="70">
        <f t="shared" si="1"/>
        <v>10</v>
      </c>
      <c r="M27" s="195"/>
      <c r="N27" s="56">
        <v>46.8</v>
      </c>
      <c r="O27" s="56">
        <v>60</v>
      </c>
      <c r="P27" s="56">
        <v>65.400000000000006</v>
      </c>
      <c r="Q27" s="56">
        <v>71</v>
      </c>
      <c r="R27" s="56">
        <v>73.400000000000006</v>
      </c>
      <c r="S27" s="56">
        <v>50.8</v>
      </c>
      <c r="T27" s="56">
        <v>61.7</v>
      </c>
      <c r="U27" s="56">
        <v>99.8</v>
      </c>
      <c r="V27" s="56">
        <v>76.8</v>
      </c>
      <c r="W27" s="56">
        <v>61.4</v>
      </c>
      <c r="X27" s="56">
        <v>55</v>
      </c>
      <c r="Y27" s="56">
        <v>60</v>
      </c>
      <c r="Z27" s="56">
        <f t="shared" si="8"/>
        <v>36.337122807017501</v>
      </c>
      <c r="AA27" s="74">
        <f t="shared" si="12"/>
        <v>64.887719298245599</v>
      </c>
      <c r="AB27" s="75"/>
      <c r="AC27" s="79"/>
      <c r="AD27" s="79"/>
      <c r="AE27" s="79"/>
      <c r="AF27" s="79"/>
      <c r="AG27" s="88"/>
      <c r="AH27" s="88"/>
      <c r="AI27" s="90"/>
      <c r="AJ27" s="90"/>
      <c r="AK27" s="90"/>
      <c r="AL27" s="90"/>
      <c r="AM27" s="90"/>
      <c r="AN27" s="90"/>
      <c r="AO27" s="88"/>
      <c r="AP27" s="88"/>
      <c r="AQ27" s="88"/>
      <c r="AR27" s="88"/>
      <c r="AS27" s="89">
        <f t="shared" si="10"/>
        <v>0</v>
      </c>
      <c r="AT27" s="198"/>
      <c r="AU27" s="96">
        <v>1.5</v>
      </c>
      <c r="AV27" s="97">
        <v>0</v>
      </c>
      <c r="AW27" s="96">
        <v>0</v>
      </c>
      <c r="AX27" s="96">
        <v>0</v>
      </c>
      <c r="AY27" s="96">
        <f t="shared" si="2"/>
        <v>1.5</v>
      </c>
      <c r="AZ27" s="96"/>
      <c r="BA27" s="96">
        <v>0.8</v>
      </c>
      <c r="BB27" s="96">
        <f t="shared" si="3"/>
        <v>0.8</v>
      </c>
      <c r="BC27" s="96">
        <v>1</v>
      </c>
      <c r="BD27" s="96"/>
      <c r="BE27" s="96">
        <v>1</v>
      </c>
      <c r="BF27" s="96">
        <v>0</v>
      </c>
      <c r="BG27" s="103">
        <f t="shared" si="4"/>
        <v>2</v>
      </c>
      <c r="BH27" s="103">
        <f t="shared" si="5"/>
        <v>4.3</v>
      </c>
      <c r="BI27" s="42" t="s">
        <v>156</v>
      </c>
      <c r="BJ27" s="97"/>
      <c r="BK27" s="104"/>
      <c r="BL27" s="97"/>
      <c r="BM27" s="97"/>
      <c r="BN27" s="105">
        <f t="shared" si="11"/>
        <v>50.637122807017498</v>
      </c>
      <c r="BO27" s="97"/>
    </row>
    <row r="28" spans="1:67" ht="15.25" customHeight="1">
      <c r="A28" s="15"/>
      <c r="B28" s="66" t="s">
        <v>157</v>
      </c>
      <c r="C28" s="193"/>
      <c r="D28" s="53">
        <v>9</v>
      </c>
      <c r="E28" s="53">
        <v>1.5</v>
      </c>
      <c r="F28" s="53">
        <v>0</v>
      </c>
      <c r="G28" s="53"/>
      <c r="H28" s="53">
        <f t="shared" si="7"/>
        <v>10.5</v>
      </c>
      <c r="I28" s="53"/>
      <c r="J28" s="53"/>
      <c r="K28" s="53">
        <f t="shared" si="0"/>
        <v>0</v>
      </c>
      <c r="L28" s="70">
        <f t="shared" si="1"/>
        <v>10.5</v>
      </c>
      <c r="M28" s="195"/>
      <c r="N28" s="56">
        <v>64.5</v>
      </c>
      <c r="O28" s="56">
        <v>70</v>
      </c>
      <c r="P28" s="56">
        <v>75</v>
      </c>
      <c r="Q28" s="56">
        <v>67.5</v>
      </c>
      <c r="R28" s="56">
        <v>61.5</v>
      </c>
      <c r="S28" s="56">
        <v>67.599999999999994</v>
      </c>
      <c r="T28" s="56">
        <v>67.400000000000006</v>
      </c>
      <c r="U28" s="56">
        <v>99</v>
      </c>
      <c r="V28" s="56">
        <v>69.900000000000006</v>
      </c>
      <c r="W28" s="56">
        <v>67.3</v>
      </c>
      <c r="X28" s="56">
        <v>56</v>
      </c>
      <c r="Y28" s="56">
        <v>60</v>
      </c>
      <c r="Z28" s="56">
        <f t="shared" si="8"/>
        <v>37.919859649122799</v>
      </c>
      <c r="AA28" s="74">
        <f t="shared" si="12"/>
        <v>67.714035087719296</v>
      </c>
      <c r="AB28" s="75"/>
      <c r="AC28" s="79"/>
      <c r="AD28" s="79"/>
      <c r="AE28" s="79"/>
      <c r="AF28" s="79"/>
      <c r="AG28" s="88"/>
      <c r="AH28" s="88"/>
      <c r="AI28" s="90"/>
      <c r="AJ28" s="90"/>
      <c r="AK28" s="90"/>
      <c r="AL28" s="90"/>
      <c r="AM28" s="90"/>
      <c r="AN28" s="90"/>
      <c r="AO28" s="88"/>
      <c r="AP28" s="88"/>
      <c r="AQ28" s="88"/>
      <c r="AR28" s="88"/>
      <c r="AS28" s="89">
        <f t="shared" si="10"/>
        <v>0</v>
      </c>
      <c r="AT28" s="198"/>
      <c r="AU28" s="96">
        <v>1.5</v>
      </c>
      <c r="AV28" s="96">
        <v>1.5</v>
      </c>
      <c r="AW28" s="96">
        <v>0</v>
      </c>
      <c r="AX28" s="96">
        <v>0</v>
      </c>
      <c r="AY28" s="96">
        <f t="shared" si="2"/>
        <v>3</v>
      </c>
      <c r="AZ28" s="96"/>
      <c r="BA28" s="96">
        <v>0</v>
      </c>
      <c r="BB28" s="96">
        <f t="shared" si="3"/>
        <v>0</v>
      </c>
      <c r="BC28" s="96">
        <v>1</v>
      </c>
      <c r="BD28" s="96"/>
      <c r="BE28" s="96">
        <v>0</v>
      </c>
      <c r="BF28" s="96">
        <v>0</v>
      </c>
      <c r="BG28" s="103">
        <f t="shared" si="4"/>
        <v>1</v>
      </c>
      <c r="BH28" s="103">
        <f t="shared" si="5"/>
        <v>4</v>
      </c>
      <c r="BI28" s="66" t="s">
        <v>157</v>
      </c>
      <c r="BJ28" s="97"/>
      <c r="BK28" s="104"/>
      <c r="BL28" s="97"/>
      <c r="BM28" s="97"/>
      <c r="BN28" s="105">
        <f t="shared" si="11"/>
        <v>52.419859649122799</v>
      </c>
      <c r="BO28" s="97"/>
    </row>
    <row r="29" spans="1:67" ht="15.25" customHeight="1">
      <c r="A29" s="15"/>
      <c r="B29" s="66" t="s">
        <v>158</v>
      </c>
      <c r="C29" s="193"/>
      <c r="D29" s="53">
        <v>9</v>
      </c>
      <c r="E29" s="53">
        <v>2</v>
      </c>
      <c r="F29" s="53">
        <v>0</v>
      </c>
      <c r="G29" s="53"/>
      <c r="H29" s="53">
        <f t="shared" si="7"/>
        <v>11</v>
      </c>
      <c r="I29" s="53"/>
      <c r="J29" s="53"/>
      <c r="K29" s="53">
        <f t="shared" si="0"/>
        <v>0</v>
      </c>
      <c r="L29" s="70">
        <f t="shared" si="1"/>
        <v>11</v>
      </c>
      <c r="M29" s="195"/>
      <c r="N29" s="56">
        <v>60.5</v>
      </c>
      <c r="O29" s="56">
        <v>70</v>
      </c>
      <c r="P29" s="56">
        <v>60.5</v>
      </c>
      <c r="Q29" s="56">
        <v>68.5</v>
      </c>
      <c r="R29" s="56">
        <v>68.599999999999994</v>
      </c>
      <c r="S29" s="56">
        <v>60</v>
      </c>
      <c r="T29" s="56">
        <v>72.7</v>
      </c>
      <c r="U29" s="56">
        <v>99.1</v>
      </c>
      <c r="V29" s="56">
        <v>80.7</v>
      </c>
      <c r="W29" s="56">
        <v>61.8</v>
      </c>
      <c r="X29" s="56">
        <v>63</v>
      </c>
      <c r="Y29" s="56">
        <v>60</v>
      </c>
      <c r="Z29" s="56">
        <f t="shared" si="8"/>
        <v>38.308912280701797</v>
      </c>
      <c r="AA29" s="74">
        <f t="shared" si="12"/>
        <v>68.408771929824596</v>
      </c>
      <c r="AB29" s="75"/>
      <c r="AC29" s="79"/>
      <c r="AD29" s="79"/>
      <c r="AE29" s="79"/>
      <c r="AF29" s="79"/>
      <c r="AG29" s="88"/>
      <c r="AH29" s="88"/>
      <c r="AI29" s="90"/>
      <c r="AJ29" s="90"/>
      <c r="AK29" s="90"/>
      <c r="AL29" s="90"/>
      <c r="AM29" s="90"/>
      <c r="AN29" s="90"/>
      <c r="AO29" s="88"/>
      <c r="AP29" s="88"/>
      <c r="AQ29" s="88"/>
      <c r="AR29" s="88"/>
      <c r="AS29" s="89">
        <f t="shared" si="10"/>
        <v>0</v>
      </c>
      <c r="AT29" s="198"/>
      <c r="AU29" s="96">
        <v>1.5</v>
      </c>
      <c r="AV29" s="96">
        <v>1.5</v>
      </c>
      <c r="AW29" s="96">
        <v>0</v>
      </c>
      <c r="AX29" s="96">
        <v>0</v>
      </c>
      <c r="AY29" s="96">
        <f t="shared" si="2"/>
        <v>3</v>
      </c>
      <c r="AZ29" s="96"/>
      <c r="BA29" s="96">
        <v>0</v>
      </c>
      <c r="BB29" s="96">
        <f t="shared" si="3"/>
        <v>0</v>
      </c>
      <c r="BC29" s="96">
        <v>1</v>
      </c>
      <c r="BD29" s="96"/>
      <c r="BE29" s="96">
        <v>0</v>
      </c>
      <c r="BF29" s="96">
        <v>0</v>
      </c>
      <c r="BG29" s="103">
        <f t="shared" si="4"/>
        <v>1</v>
      </c>
      <c r="BH29" s="103">
        <f t="shared" si="5"/>
        <v>4</v>
      </c>
      <c r="BI29" s="66" t="s">
        <v>158</v>
      </c>
      <c r="BJ29" s="97"/>
      <c r="BK29" s="104"/>
      <c r="BL29" s="97"/>
      <c r="BM29" s="97"/>
      <c r="BN29" s="105">
        <f t="shared" si="11"/>
        <v>53.308912280701797</v>
      </c>
      <c r="BO29" s="97"/>
    </row>
    <row r="30" spans="1:67" ht="15.25" customHeight="1">
      <c r="A30" s="15"/>
      <c r="B30" s="66" t="s">
        <v>159</v>
      </c>
      <c r="C30" s="193"/>
      <c r="D30" s="53">
        <v>9</v>
      </c>
      <c r="E30" s="53"/>
      <c r="F30" s="53">
        <v>0</v>
      </c>
      <c r="G30" s="53"/>
      <c r="H30" s="53">
        <f t="shared" si="7"/>
        <v>9</v>
      </c>
      <c r="I30" s="53"/>
      <c r="J30" s="53"/>
      <c r="K30" s="53">
        <f t="shared" si="0"/>
        <v>0</v>
      </c>
      <c r="L30" s="70">
        <f t="shared" si="1"/>
        <v>9</v>
      </c>
      <c r="M30" s="195"/>
      <c r="N30" s="56">
        <v>63.9</v>
      </c>
      <c r="O30" s="56">
        <v>70</v>
      </c>
      <c r="P30" s="56">
        <v>60.4</v>
      </c>
      <c r="Q30" s="56">
        <v>67</v>
      </c>
      <c r="R30" s="56">
        <v>75.599999999999994</v>
      </c>
      <c r="S30" s="56">
        <v>70</v>
      </c>
      <c r="T30" s="56">
        <v>72.5</v>
      </c>
      <c r="U30" s="56">
        <v>96.3</v>
      </c>
      <c r="V30" s="56">
        <v>78.5</v>
      </c>
      <c r="W30" s="56">
        <v>71.3</v>
      </c>
      <c r="X30" s="56">
        <v>71</v>
      </c>
      <c r="Y30" s="56">
        <v>60</v>
      </c>
      <c r="Z30" s="56">
        <f t="shared" si="8"/>
        <v>40.010526315789498</v>
      </c>
      <c r="AA30" s="74">
        <f t="shared" si="12"/>
        <v>71.447368421052602</v>
      </c>
      <c r="AB30" s="75"/>
      <c r="AC30" s="79"/>
      <c r="AD30" s="79"/>
      <c r="AE30" s="79"/>
      <c r="AF30" s="79"/>
      <c r="AG30" s="88"/>
      <c r="AH30" s="88"/>
      <c r="AI30" s="90"/>
      <c r="AJ30" s="90"/>
      <c r="AK30" s="90"/>
      <c r="AL30" s="90"/>
      <c r="AM30" s="90"/>
      <c r="AN30" s="90"/>
      <c r="AO30" s="88"/>
      <c r="AP30" s="88"/>
      <c r="AQ30" s="88"/>
      <c r="AR30" s="88"/>
      <c r="AS30" s="89">
        <f t="shared" si="10"/>
        <v>0</v>
      </c>
      <c r="AT30" s="198"/>
      <c r="AU30" s="96">
        <v>1.5</v>
      </c>
      <c r="AV30" s="96">
        <v>1.5</v>
      </c>
      <c r="AW30" s="96">
        <v>0</v>
      </c>
      <c r="AX30" s="96">
        <v>0</v>
      </c>
      <c r="AY30" s="96">
        <f t="shared" si="2"/>
        <v>3</v>
      </c>
      <c r="AZ30" s="96"/>
      <c r="BA30" s="96">
        <v>0</v>
      </c>
      <c r="BB30" s="96">
        <f t="shared" si="3"/>
        <v>0</v>
      </c>
      <c r="BC30" s="96">
        <v>1</v>
      </c>
      <c r="BD30" s="96"/>
      <c r="BE30" s="96">
        <v>0</v>
      </c>
      <c r="BF30" s="96">
        <v>0</v>
      </c>
      <c r="BG30" s="103">
        <f t="shared" si="4"/>
        <v>1</v>
      </c>
      <c r="BH30" s="103">
        <f t="shared" si="5"/>
        <v>4</v>
      </c>
      <c r="BI30" s="66" t="s">
        <v>159</v>
      </c>
      <c r="BJ30" s="97"/>
      <c r="BK30" s="104"/>
      <c r="BL30" s="97"/>
      <c r="BM30" s="97"/>
      <c r="BN30" s="105">
        <f t="shared" si="11"/>
        <v>53.010526315789498</v>
      </c>
      <c r="BO30" s="97"/>
    </row>
    <row r="31" spans="1:67" ht="15.25" customHeight="1">
      <c r="A31" s="15"/>
      <c r="B31" s="66" t="s">
        <v>160</v>
      </c>
      <c r="C31" s="193"/>
      <c r="D31" s="53">
        <v>9</v>
      </c>
      <c r="E31" s="53">
        <v>0.8</v>
      </c>
      <c r="F31" s="53">
        <v>0</v>
      </c>
      <c r="G31" s="53"/>
      <c r="H31" s="53">
        <f t="shared" si="7"/>
        <v>9.8000000000000007</v>
      </c>
      <c r="I31" s="53"/>
      <c r="J31" s="53"/>
      <c r="K31" s="53">
        <f t="shared" si="0"/>
        <v>0</v>
      </c>
      <c r="L31" s="70">
        <f t="shared" si="1"/>
        <v>9.8000000000000007</v>
      </c>
      <c r="M31" s="195"/>
      <c r="N31" s="56">
        <v>63.6</v>
      </c>
      <c r="O31" s="56">
        <v>70</v>
      </c>
      <c r="P31" s="56">
        <v>65.5</v>
      </c>
      <c r="Q31" s="56">
        <v>74</v>
      </c>
      <c r="R31" s="56">
        <v>85.6</v>
      </c>
      <c r="S31" s="56">
        <v>74.400000000000006</v>
      </c>
      <c r="T31" s="56">
        <v>62.3</v>
      </c>
      <c r="U31" s="56">
        <v>97.4</v>
      </c>
      <c r="V31" s="56">
        <v>81.2</v>
      </c>
      <c r="W31" s="56">
        <v>65</v>
      </c>
      <c r="X31" s="56">
        <v>65</v>
      </c>
      <c r="Y31" s="56">
        <v>60</v>
      </c>
      <c r="Z31" s="56">
        <f t="shared" si="8"/>
        <v>40.856421052631603</v>
      </c>
      <c r="AA31" s="74">
        <f t="shared" si="12"/>
        <v>72.957894736842107</v>
      </c>
      <c r="AB31" s="75"/>
      <c r="AC31" s="79"/>
      <c r="AD31" s="79"/>
      <c r="AE31" s="79"/>
      <c r="AF31" s="79"/>
      <c r="AG31" s="88"/>
      <c r="AH31" s="88"/>
      <c r="AI31" s="90"/>
      <c r="AJ31" s="90"/>
      <c r="AK31" s="90"/>
      <c r="AL31" s="90"/>
      <c r="AM31" s="90"/>
      <c r="AN31" s="90"/>
      <c r="AO31" s="88"/>
      <c r="AP31" s="88"/>
      <c r="AQ31" s="88"/>
      <c r="AR31" s="88"/>
      <c r="AS31" s="89">
        <f t="shared" si="10"/>
        <v>0</v>
      </c>
      <c r="AT31" s="198"/>
      <c r="AU31" s="96">
        <v>1.5</v>
      </c>
      <c r="AV31" s="96">
        <v>1.5</v>
      </c>
      <c r="AW31" s="96">
        <v>0</v>
      </c>
      <c r="AX31" s="96">
        <v>0</v>
      </c>
      <c r="AY31" s="96">
        <f t="shared" si="2"/>
        <v>3</v>
      </c>
      <c r="AZ31" s="96"/>
      <c r="BA31" s="96">
        <v>0.8</v>
      </c>
      <c r="BB31" s="96">
        <f t="shared" si="3"/>
        <v>0.8</v>
      </c>
      <c r="BC31" s="96">
        <v>1</v>
      </c>
      <c r="BD31" s="96"/>
      <c r="BE31" s="96">
        <v>0.4</v>
      </c>
      <c r="BF31" s="96">
        <v>0</v>
      </c>
      <c r="BG31" s="103">
        <f t="shared" si="4"/>
        <v>1.4</v>
      </c>
      <c r="BH31" s="103">
        <f t="shared" si="5"/>
        <v>5.2</v>
      </c>
      <c r="BI31" s="66" t="s">
        <v>160</v>
      </c>
      <c r="BJ31" s="97"/>
      <c r="BK31" s="104"/>
      <c r="BL31" s="97"/>
      <c r="BM31" s="97"/>
      <c r="BN31" s="105">
        <f t="shared" si="11"/>
        <v>55.856421052631603</v>
      </c>
      <c r="BO31" s="97"/>
    </row>
    <row r="32" spans="1:67" ht="16" customHeight="1">
      <c r="A32" s="15"/>
      <c r="B32" s="66" t="s">
        <v>161</v>
      </c>
      <c r="C32" s="193"/>
      <c r="D32" s="53">
        <v>9</v>
      </c>
      <c r="E32" s="53">
        <v>1.2</v>
      </c>
      <c r="F32" s="53">
        <v>0</v>
      </c>
      <c r="G32" s="53"/>
      <c r="H32" s="53">
        <f t="shared" si="7"/>
        <v>10.199999999999999</v>
      </c>
      <c r="I32" s="53">
        <v>-2</v>
      </c>
      <c r="J32" s="53">
        <v>0</v>
      </c>
      <c r="K32" s="53">
        <f t="shared" si="0"/>
        <v>-2</v>
      </c>
      <c r="L32" s="70">
        <f t="shared" si="1"/>
        <v>8.1999999999999993</v>
      </c>
      <c r="M32" s="195"/>
      <c r="N32" s="56">
        <v>60.1</v>
      </c>
      <c r="O32" s="56">
        <v>70</v>
      </c>
      <c r="P32" s="56">
        <v>47.9</v>
      </c>
      <c r="Q32" s="56">
        <v>55</v>
      </c>
      <c r="R32" s="56">
        <v>43.6</v>
      </c>
      <c r="S32" s="56">
        <v>49.2</v>
      </c>
      <c r="T32" s="56">
        <v>61.8</v>
      </c>
      <c r="U32" s="56">
        <v>96.2</v>
      </c>
      <c r="V32" s="56">
        <v>83.6</v>
      </c>
      <c r="W32" s="56">
        <v>64</v>
      </c>
      <c r="X32" s="56">
        <v>61</v>
      </c>
      <c r="Y32" s="56">
        <v>60</v>
      </c>
      <c r="Z32" s="56">
        <f t="shared" si="8"/>
        <v>33.406456140350897</v>
      </c>
      <c r="AA32" s="74">
        <f t="shared" si="12"/>
        <v>59.654385964912301</v>
      </c>
      <c r="AB32" s="75"/>
      <c r="AC32" s="79"/>
      <c r="AD32" s="79"/>
      <c r="AE32" s="79"/>
      <c r="AF32" s="79"/>
      <c r="AG32" s="88"/>
      <c r="AH32" s="88"/>
      <c r="AI32" s="90"/>
      <c r="AJ32" s="90"/>
      <c r="AK32" s="90"/>
      <c r="AL32" s="90"/>
      <c r="AM32" s="90"/>
      <c r="AN32" s="90"/>
      <c r="AO32" s="88"/>
      <c r="AP32" s="88"/>
      <c r="AQ32" s="88"/>
      <c r="AR32" s="88"/>
      <c r="AS32" s="89">
        <f t="shared" si="10"/>
        <v>0</v>
      </c>
      <c r="AT32" s="198"/>
      <c r="AU32" s="96">
        <v>1.5</v>
      </c>
      <c r="AV32" s="96">
        <v>1.5</v>
      </c>
      <c r="AW32" s="96">
        <v>0</v>
      </c>
      <c r="AX32" s="96">
        <v>0</v>
      </c>
      <c r="AY32" s="96">
        <f t="shared" si="2"/>
        <v>3</v>
      </c>
      <c r="AZ32" s="96"/>
      <c r="BA32" s="96">
        <v>0</v>
      </c>
      <c r="BB32" s="96">
        <f t="shared" si="3"/>
        <v>0</v>
      </c>
      <c r="BC32" s="96">
        <v>1</v>
      </c>
      <c r="BD32" s="96"/>
      <c r="BE32" s="96">
        <v>0</v>
      </c>
      <c r="BF32" s="96">
        <v>0</v>
      </c>
      <c r="BG32" s="103">
        <f t="shared" si="4"/>
        <v>1</v>
      </c>
      <c r="BH32" s="103">
        <f t="shared" si="5"/>
        <v>4</v>
      </c>
      <c r="BI32" s="66" t="s">
        <v>161</v>
      </c>
      <c r="BJ32" s="97"/>
      <c r="BK32" s="104"/>
      <c r="BL32" s="97"/>
      <c r="BM32" s="97"/>
      <c r="BN32" s="105">
        <f t="shared" si="11"/>
        <v>45.6064561403509</v>
      </c>
      <c r="BO32" s="97"/>
    </row>
    <row r="33" spans="1:67" ht="15.25" customHeight="1">
      <c r="A33" s="15"/>
      <c r="B33" s="66" t="s">
        <v>162</v>
      </c>
      <c r="C33" s="193"/>
      <c r="D33" s="53">
        <v>9</v>
      </c>
      <c r="E33" s="53">
        <v>0</v>
      </c>
      <c r="F33" s="53">
        <v>0</v>
      </c>
      <c r="G33" s="53"/>
      <c r="H33" s="53">
        <f t="shared" si="7"/>
        <v>9</v>
      </c>
      <c r="I33" s="53">
        <v>-2</v>
      </c>
      <c r="J33" s="53">
        <v>0</v>
      </c>
      <c r="K33" s="53">
        <f t="shared" si="0"/>
        <v>-2</v>
      </c>
      <c r="L33" s="70">
        <f t="shared" si="1"/>
        <v>7</v>
      </c>
      <c r="M33" s="195"/>
      <c r="N33" s="56">
        <v>65.8</v>
      </c>
      <c r="O33" s="56">
        <v>70</v>
      </c>
      <c r="P33" s="56">
        <v>64.900000000000006</v>
      </c>
      <c r="Q33" s="56">
        <v>61.5</v>
      </c>
      <c r="R33" s="56">
        <v>79.400000000000006</v>
      </c>
      <c r="S33" s="56">
        <v>69.8</v>
      </c>
      <c r="T33" s="56">
        <v>61.9</v>
      </c>
      <c r="U33" s="56">
        <v>99.5</v>
      </c>
      <c r="V33" s="56">
        <v>82.9</v>
      </c>
      <c r="W33" s="56">
        <v>67.099999999999994</v>
      </c>
      <c r="X33" s="56">
        <v>70</v>
      </c>
      <c r="Y33" s="56">
        <v>60</v>
      </c>
      <c r="Z33" s="56">
        <f t="shared" si="8"/>
        <v>39.7049824561403</v>
      </c>
      <c r="AA33" s="74">
        <f t="shared" si="12"/>
        <v>70.901754385964907</v>
      </c>
      <c r="AB33" s="75"/>
      <c r="AC33" s="79"/>
      <c r="AD33" s="79"/>
      <c r="AE33" s="79"/>
      <c r="AF33" s="79"/>
      <c r="AG33" s="88"/>
      <c r="AH33" s="88"/>
      <c r="AI33" s="90"/>
      <c r="AJ33" s="90"/>
      <c r="AK33" s="90"/>
      <c r="AL33" s="90"/>
      <c r="AM33" s="90"/>
      <c r="AN33" s="90"/>
      <c r="AO33" s="88"/>
      <c r="AP33" s="88"/>
      <c r="AQ33" s="88"/>
      <c r="AR33" s="88"/>
      <c r="AS33" s="89">
        <f t="shared" si="10"/>
        <v>0</v>
      </c>
      <c r="AT33" s="198"/>
      <c r="AU33" s="96">
        <v>1.5</v>
      </c>
      <c r="AV33" s="96">
        <v>1.5</v>
      </c>
      <c r="AW33" s="96">
        <v>0</v>
      </c>
      <c r="AX33" s="96">
        <v>0</v>
      </c>
      <c r="AY33" s="96">
        <f t="shared" si="2"/>
        <v>3</v>
      </c>
      <c r="AZ33" s="96"/>
      <c r="BA33" s="96">
        <v>0</v>
      </c>
      <c r="BB33" s="96">
        <f t="shared" si="3"/>
        <v>0</v>
      </c>
      <c r="BC33" s="96">
        <v>1</v>
      </c>
      <c r="BD33" s="96"/>
      <c r="BE33" s="96">
        <v>0</v>
      </c>
      <c r="BF33" s="96">
        <v>0</v>
      </c>
      <c r="BG33" s="103">
        <f t="shared" si="4"/>
        <v>1</v>
      </c>
      <c r="BH33" s="103">
        <f t="shared" si="5"/>
        <v>4</v>
      </c>
      <c r="BI33" s="66" t="s">
        <v>162</v>
      </c>
      <c r="BJ33" s="97"/>
      <c r="BK33" s="104"/>
      <c r="BL33" s="97"/>
      <c r="BM33" s="97"/>
      <c r="BN33" s="105">
        <f t="shared" si="11"/>
        <v>50.7049824561403</v>
      </c>
      <c r="BO33" s="97"/>
    </row>
    <row r="34" spans="1:67" ht="15.25" customHeight="1">
      <c r="A34" s="15"/>
      <c r="B34" s="66" t="s">
        <v>163</v>
      </c>
      <c r="C34" s="193"/>
      <c r="D34" s="53">
        <v>9</v>
      </c>
      <c r="E34" s="53">
        <v>0.8</v>
      </c>
      <c r="F34" s="53">
        <v>0</v>
      </c>
      <c r="G34" s="53"/>
      <c r="H34" s="53">
        <f t="shared" si="7"/>
        <v>9.8000000000000007</v>
      </c>
      <c r="I34" s="53"/>
      <c r="J34" s="53">
        <v>0</v>
      </c>
      <c r="K34" s="53">
        <f t="shared" si="0"/>
        <v>0</v>
      </c>
      <c r="L34" s="70">
        <f t="shared" si="1"/>
        <v>9.8000000000000007</v>
      </c>
      <c r="M34" s="195"/>
      <c r="N34" s="56">
        <v>50.8</v>
      </c>
      <c r="O34" s="56">
        <v>70</v>
      </c>
      <c r="P34" s="56">
        <v>61.2</v>
      </c>
      <c r="Q34" s="56">
        <v>67.5</v>
      </c>
      <c r="R34" s="56">
        <v>60</v>
      </c>
      <c r="S34" s="56">
        <v>56.6</v>
      </c>
      <c r="T34" s="56">
        <v>69.400000000000006</v>
      </c>
      <c r="U34" s="56">
        <v>100</v>
      </c>
      <c r="V34" s="56">
        <v>85</v>
      </c>
      <c r="W34" s="56">
        <v>54.3</v>
      </c>
      <c r="X34" s="56">
        <v>62</v>
      </c>
      <c r="Y34" s="56">
        <v>60</v>
      </c>
      <c r="Z34" s="56">
        <f t="shared" si="8"/>
        <v>36.517894736842102</v>
      </c>
      <c r="AA34" s="74">
        <f t="shared" si="12"/>
        <v>65.210526315789494</v>
      </c>
      <c r="AB34" s="75"/>
      <c r="AC34" s="79"/>
      <c r="AD34" s="79"/>
      <c r="AE34" s="79"/>
      <c r="AF34" s="79"/>
      <c r="AG34" s="88"/>
      <c r="AH34" s="88"/>
      <c r="AI34" s="90"/>
      <c r="AJ34" s="90"/>
      <c r="AK34" s="90"/>
      <c r="AL34" s="90"/>
      <c r="AM34" s="90"/>
      <c r="AN34" s="90"/>
      <c r="AO34" s="88"/>
      <c r="AP34" s="88"/>
      <c r="AQ34" s="88"/>
      <c r="AR34" s="88"/>
      <c r="AS34" s="89">
        <f t="shared" si="10"/>
        <v>0</v>
      </c>
      <c r="AT34" s="198"/>
      <c r="AU34" s="96">
        <v>1.5</v>
      </c>
      <c r="AV34" s="96">
        <v>1.5</v>
      </c>
      <c r="AW34" s="96">
        <v>0</v>
      </c>
      <c r="AX34" s="96">
        <v>0</v>
      </c>
      <c r="AY34" s="96">
        <f t="shared" si="2"/>
        <v>3</v>
      </c>
      <c r="AZ34" s="96"/>
      <c r="BA34" s="96">
        <v>0</v>
      </c>
      <c r="BB34" s="96">
        <f t="shared" si="3"/>
        <v>0</v>
      </c>
      <c r="BC34" s="96">
        <v>1</v>
      </c>
      <c r="BD34" s="96"/>
      <c r="BE34" s="96">
        <v>0</v>
      </c>
      <c r="BF34" s="96">
        <v>0</v>
      </c>
      <c r="BG34" s="103">
        <f t="shared" si="4"/>
        <v>1</v>
      </c>
      <c r="BH34" s="103">
        <f t="shared" si="5"/>
        <v>4</v>
      </c>
      <c r="BI34" s="66" t="s">
        <v>163</v>
      </c>
      <c r="BJ34" s="97"/>
      <c r="BK34" s="104"/>
      <c r="BL34" s="97"/>
      <c r="BM34" s="97"/>
      <c r="BN34" s="105">
        <f t="shared" si="11"/>
        <v>50.317894736842099</v>
      </c>
      <c r="BO34" s="97"/>
    </row>
    <row r="35" spans="1:67" ht="15.25" customHeight="1">
      <c r="A35" s="15"/>
      <c r="B35" s="66" t="s">
        <v>164</v>
      </c>
      <c r="C35" s="193"/>
      <c r="D35" s="53">
        <v>9</v>
      </c>
      <c r="E35" s="53"/>
      <c r="F35" s="53">
        <v>0</v>
      </c>
      <c r="G35" s="53"/>
      <c r="H35" s="53">
        <f t="shared" si="7"/>
        <v>9</v>
      </c>
      <c r="I35" s="53"/>
      <c r="J35" s="53"/>
      <c r="K35" s="53">
        <f t="shared" si="0"/>
        <v>0</v>
      </c>
      <c r="L35" s="70">
        <f t="shared" si="1"/>
        <v>9</v>
      </c>
      <c r="M35" s="195"/>
      <c r="N35" s="56">
        <v>73.7</v>
      </c>
      <c r="O35" s="56">
        <v>70</v>
      </c>
      <c r="P35" s="56">
        <v>69</v>
      </c>
      <c r="Q35" s="56">
        <v>68</v>
      </c>
      <c r="R35" s="56">
        <v>75.400000000000006</v>
      </c>
      <c r="S35" s="56">
        <v>88.6</v>
      </c>
      <c r="T35" s="56">
        <v>68.5</v>
      </c>
      <c r="U35" s="56">
        <v>100</v>
      </c>
      <c r="V35" s="56">
        <v>80.8</v>
      </c>
      <c r="W35" s="56">
        <v>65.400000000000006</v>
      </c>
      <c r="X35" s="56">
        <v>81</v>
      </c>
      <c r="Y35" s="56">
        <v>60</v>
      </c>
      <c r="Z35" s="56">
        <f t="shared" si="8"/>
        <v>42.655298245613999</v>
      </c>
      <c r="AA35" s="74">
        <f t="shared" si="12"/>
        <v>76.170175438596502</v>
      </c>
      <c r="AB35" s="75"/>
      <c r="AC35" s="79"/>
      <c r="AD35" s="79"/>
      <c r="AE35" s="79"/>
      <c r="AF35" s="79"/>
      <c r="AG35" s="88"/>
      <c r="AH35" s="88"/>
      <c r="AI35" s="90"/>
      <c r="AJ35" s="90"/>
      <c r="AK35" s="90"/>
      <c r="AL35" s="90"/>
      <c r="AM35" s="90"/>
      <c r="AN35" s="90"/>
      <c r="AO35" s="88"/>
      <c r="AP35" s="88"/>
      <c r="AQ35" s="88"/>
      <c r="AR35" s="88"/>
      <c r="AS35" s="89">
        <f t="shared" si="10"/>
        <v>0</v>
      </c>
      <c r="AT35" s="198"/>
      <c r="AU35" s="96">
        <v>1.5</v>
      </c>
      <c r="AV35" s="96">
        <v>1.5</v>
      </c>
      <c r="AW35" s="96">
        <v>0</v>
      </c>
      <c r="AX35" s="96">
        <v>0</v>
      </c>
      <c r="AY35" s="96">
        <f t="shared" si="2"/>
        <v>3</v>
      </c>
      <c r="AZ35" s="96"/>
      <c r="BA35" s="96">
        <v>0</v>
      </c>
      <c r="BB35" s="96">
        <f t="shared" si="3"/>
        <v>0</v>
      </c>
      <c r="BC35" s="96">
        <v>1</v>
      </c>
      <c r="BD35" s="96"/>
      <c r="BE35" s="96">
        <v>0</v>
      </c>
      <c r="BF35" s="96">
        <v>0</v>
      </c>
      <c r="BG35" s="103">
        <f t="shared" si="4"/>
        <v>1</v>
      </c>
      <c r="BH35" s="103">
        <f t="shared" si="5"/>
        <v>4</v>
      </c>
      <c r="BI35" s="66" t="s">
        <v>164</v>
      </c>
      <c r="BJ35" s="97"/>
      <c r="BK35" s="104"/>
      <c r="BL35" s="97"/>
      <c r="BM35" s="97"/>
      <c r="BN35" s="105">
        <f t="shared" si="11"/>
        <v>55.655298245613999</v>
      </c>
      <c r="BO35" s="97"/>
    </row>
    <row r="36" spans="1:67" ht="15.25" customHeight="1">
      <c r="A36" s="15"/>
      <c r="B36" s="66" t="s">
        <v>165</v>
      </c>
      <c r="C36" s="193"/>
      <c r="D36" s="53">
        <v>9</v>
      </c>
      <c r="E36" s="53"/>
      <c r="F36" s="53">
        <v>0</v>
      </c>
      <c r="G36" s="53"/>
      <c r="H36" s="53">
        <f t="shared" si="7"/>
        <v>9</v>
      </c>
      <c r="I36" s="53"/>
      <c r="J36" s="53"/>
      <c r="K36" s="53">
        <f t="shared" si="0"/>
        <v>0</v>
      </c>
      <c r="L36" s="70">
        <f t="shared" si="1"/>
        <v>9</v>
      </c>
      <c r="M36" s="195"/>
      <c r="N36" s="56">
        <v>78.599999999999994</v>
      </c>
      <c r="O36" s="56">
        <v>70</v>
      </c>
      <c r="P36" s="56">
        <v>67</v>
      </c>
      <c r="Q36" s="56">
        <v>70.5</v>
      </c>
      <c r="R36" s="56">
        <v>78.400000000000006</v>
      </c>
      <c r="S36" s="56">
        <v>83.2</v>
      </c>
      <c r="T36" s="56">
        <v>68.2</v>
      </c>
      <c r="U36" s="56">
        <v>97.1</v>
      </c>
      <c r="V36" s="56">
        <v>81.2</v>
      </c>
      <c r="W36" s="56">
        <v>69.599999999999994</v>
      </c>
      <c r="X36" s="56">
        <v>90</v>
      </c>
      <c r="Y36" s="56">
        <v>60</v>
      </c>
      <c r="Z36" s="56">
        <f t="shared" si="8"/>
        <v>43.524771929824603</v>
      </c>
      <c r="AA36" s="74">
        <f t="shared" si="12"/>
        <v>77.7228070175439</v>
      </c>
      <c r="AB36" s="75"/>
      <c r="AC36" s="79"/>
      <c r="AD36" s="79"/>
      <c r="AE36" s="79"/>
      <c r="AF36" s="79"/>
      <c r="AG36" s="88"/>
      <c r="AH36" s="88"/>
      <c r="AI36" s="90"/>
      <c r="AJ36" s="90"/>
      <c r="AK36" s="90"/>
      <c r="AL36" s="90"/>
      <c r="AM36" s="90"/>
      <c r="AN36" s="90"/>
      <c r="AO36" s="88"/>
      <c r="AP36" s="88"/>
      <c r="AQ36" s="88"/>
      <c r="AR36" s="88"/>
      <c r="AS36" s="89">
        <f t="shared" si="10"/>
        <v>0</v>
      </c>
      <c r="AT36" s="198"/>
      <c r="AU36" s="96">
        <v>1.5</v>
      </c>
      <c r="AV36" s="96">
        <v>1.5</v>
      </c>
      <c r="AW36" s="96">
        <v>0</v>
      </c>
      <c r="AX36" s="96">
        <v>0</v>
      </c>
      <c r="AY36" s="96">
        <f t="shared" si="2"/>
        <v>3</v>
      </c>
      <c r="AZ36" s="96"/>
      <c r="BA36" s="96">
        <v>0</v>
      </c>
      <c r="BB36" s="96">
        <f t="shared" si="3"/>
        <v>0</v>
      </c>
      <c r="BC36" s="96">
        <v>1</v>
      </c>
      <c r="BD36" s="96"/>
      <c r="BE36" s="96">
        <v>0</v>
      </c>
      <c r="BF36" s="96">
        <v>0</v>
      </c>
      <c r="BG36" s="103">
        <f t="shared" si="4"/>
        <v>1</v>
      </c>
      <c r="BH36" s="103">
        <f t="shared" si="5"/>
        <v>4</v>
      </c>
      <c r="BI36" s="66" t="s">
        <v>165</v>
      </c>
      <c r="BJ36" s="97"/>
      <c r="BK36" s="104"/>
      <c r="BL36" s="97"/>
      <c r="BM36" s="97"/>
      <c r="BN36" s="105">
        <f t="shared" si="11"/>
        <v>56.524771929824603</v>
      </c>
      <c r="BO36" s="97"/>
    </row>
    <row r="37" spans="1:67" ht="14.5" customHeight="1">
      <c r="A37" s="15"/>
      <c r="B37" s="66" t="s">
        <v>166</v>
      </c>
      <c r="C37" s="193"/>
      <c r="D37" s="53">
        <v>9</v>
      </c>
      <c r="E37" s="53"/>
      <c r="F37" s="53">
        <v>2</v>
      </c>
      <c r="G37" s="53"/>
      <c r="H37" s="53">
        <f t="shared" si="7"/>
        <v>11</v>
      </c>
      <c r="I37" s="53"/>
      <c r="J37" s="53"/>
      <c r="K37" s="53">
        <f t="shared" si="0"/>
        <v>0</v>
      </c>
      <c r="L37" s="70">
        <f t="shared" si="1"/>
        <v>11</v>
      </c>
      <c r="M37" s="195"/>
      <c r="N37" s="56">
        <v>81.2</v>
      </c>
      <c r="O37" s="56">
        <v>80</v>
      </c>
      <c r="P37" s="56">
        <v>88.2</v>
      </c>
      <c r="Q37" s="56">
        <v>75.5</v>
      </c>
      <c r="R37" s="56">
        <v>76.400000000000006</v>
      </c>
      <c r="S37" s="56">
        <v>86</v>
      </c>
      <c r="T37" s="56">
        <v>77.099999999999994</v>
      </c>
      <c r="U37" s="56">
        <v>92.9</v>
      </c>
      <c r="V37" s="56">
        <v>86.1</v>
      </c>
      <c r="W37" s="56">
        <v>68.3</v>
      </c>
      <c r="X37" s="56">
        <v>80</v>
      </c>
      <c r="Y37" s="56">
        <v>60</v>
      </c>
      <c r="Z37" s="56">
        <f t="shared" si="8"/>
        <v>44.874666666666599</v>
      </c>
      <c r="AA37" s="74">
        <f t="shared" si="12"/>
        <v>80.133333333333297</v>
      </c>
      <c r="AB37" s="75"/>
      <c r="AC37" s="79"/>
      <c r="AD37" s="79"/>
      <c r="AE37" s="79"/>
      <c r="AF37" s="79"/>
      <c r="AG37" s="88"/>
      <c r="AH37" s="88"/>
      <c r="AI37" s="90"/>
      <c r="AJ37" s="90"/>
      <c r="AK37" s="90"/>
      <c r="AL37" s="90"/>
      <c r="AM37" s="90"/>
      <c r="AN37" s="90"/>
      <c r="AO37" s="88"/>
      <c r="AP37" s="88"/>
      <c r="AQ37" s="88"/>
      <c r="AR37" s="88"/>
      <c r="AS37" s="89">
        <f t="shared" si="10"/>
        <v>0</v>
      </c>
      <c r="AT37" s="198"/>
      <c r="AU37" s="96">
        <v>1.5</v>
      </c>
      <c r="AV37" s="96">
        <v>1.5</v>
      </c>
      <c r="AW37" s="96">
        <v>0</v>
      </c>
      <c r="AX37" s="96">
        <v>0</v>
      </c>
      <c r="AY37" s="96">
        <f t="shared" si="2"/>
        <v>3</v>
      </c>
      <c r="AZ37" s="96"/>
      <c r="BA37" s="96">
        <v>0</v>
      </c>
      <c r="BB37" s="96">
        <f t="shared" si="3"/>
        <v>0</v>
      </c>
      <c r="BC37" s="96">
        <v>1</v>
      </c>
      <c r="BD37" s="96"/>
      <c r="BE37" s="96">
        <v>0</v>
      </c>
      <c r="BF37" s="96">
        <v>0</v>
      </c>
      <c r="BG37" s="103">
        <f t="shared" si="4"/>
        <v>1</v>
      </c>
      <c r="BH37" s="103">
        <f t="shared" si="5"/>
        <v>4</v>
      </c>
      <c r="BI37" s="66" t="s">
        <v>166</v>
      </c>
      <c r="BJ37" s="97"/>
      <c r="BK37" s="104"/>
      <c r="BL37" s="97"/>
      <c r="BM37" s="97"/>
      <c r="BN37" s="105">
        <f t="shared" si="11"/>
        <v>59.874666666666599</v>
      </c>
      <c r="BO37" s="97"/>
    </row>
    <row r="38" spans="1:67" ht="15.25" customHeight="1">
      <c r="A38" s="15"/>
      <c r="B38" s="66" t="s">
        <v>167</v>
      </c>
      <c r="C38" s="193"/>
      <c r="D38" s="53">
        <v>9</v>
      </c>
      <c r="E38" s="53"/>
      <c r="F38" s="53">
        <v>0</v>
      </c>
      <c r="G38" s="53"/>
      <c r="H38" s="53">
        <f t="shared" si="7"/>
        <v>9</v>
      </c>
      <c r="I38" s="53"/>
      <c r="J38" s="53"/>
      <c r="K38" s="53">
        <f t="shared" si="0"/>
        <v>0</v>
      </c>
      <c r="L38" s="70">
        <f t="shared" si="1"/>
        <v>9</v>
      </c>
      <c r="M38" s="195"/>
      <c r="N38" s="56">
        <v>88.5</v>
      </c>
      <c r="O38" s="56">
        <v>80</v>
      </c>
      <c r="P38" s="56">
        <v>78.400000000000006</v>
      </c>
      <c r="Q38" s="56">
        <v>78</v>
      </c>
      <c r="R38" s="56">
        <v>92.8</v>
      </c>
      <c r="S38" s="56">
        <v>83.4</v>
      </c>
      <c r="T38" s="56">
        <v>75</v>
      </c>
      <c r="U38" s="56">
        <v>100</v>
      </c>
      <c r="V38" s="56">
        <v>78.3</v>
      </c>
      <c r="W38" s="56">
        <v>84.8</v>
      </c>
      <c r="X38" s="56">
        <v>71</v>
      </c>
      <c r="Y38" s="56">
        <v>60</v>
      </c>
      <c r="Z38" s="56">
        <f t="shared" si="8"/>
        <v>48.276175438596503</v>
      </c>
      <c r="AA38" s="74">
        <f t="shared" si="12"/>
        <v>82.082456140350899</v>
      </c>
      <c r="AB38" s="75"/>
      <c r="AC38" s="79">
        <v>7.5</v>
      </c>
      <c r="AD38" s="79"/>
      <c r="AE38" s="79">
        <v>2.5</v>
      </c>
      <c r="AF38" s="79"/>
      <c r="AG38" s="88"/>
      <c r="AH38" s="88"/>
      <c r="AI38" s="90"/>
      <c r="AJ38" s="90">
        <v>6.5</v>
      </c>
      <c r="AK38" s="90"/>
      <c r="AL38" s="90"/>
      <c r="AM38" s="90"/>
      <c r="AN38" s="90"/>
      <c r="AO38" s="88"/>
      <c r="AP38" s="88"/>
      <c r="AQ38" s="88"/>
      <c r="AR38" s="88"/>
      <c r="AS38" s="89">
        <f t="shared" si="10"/>
        <v>16.5</v>
      </c>
      <c r="AT38" s="198"/>
      <c r="AU38" s="96">
        <v>1.5</v>
      </c>
      <c r="AV38" s="96">
        <v>1.5</v>
      </c>
      <c r="AW38" s="96">
        <v>0</v>
      </c>
      <c r="AX38" s="96">
        <v>0</v>
      </c>
      <c r="AY38" s="96">
        <f t="shared" si="2"/>
        <v>3</v>
      </c>
      <c r="AZ38" s="96"/>
      <c r="BA38" s="96">
        <v>0</v>
      </c>
      <c r="BB38" s="96">
        <f t="shared" si="3"/>
        <v>0</v>
      </c>
      <c r="BC38" s="96">
        <v>1</v>
      </c>
      <c r="BD38" s="96"/>
      <c r="BE38" s="96">
        <v>0</v>
      </c>
      <c r="BF38" s="96">
        <v>0</v>
      </c>
      <c r="BG38" s="103">
        <f t="shared" si="4"/>
        <v>1</v>
      </c>
      <c r="BH38" s="103">
        <f t="shared" si="5"/>
        <v>4</v>
      </c>
      <c r="BI38" s="66" t="s">
        <v>167</v>
      </c>
      <c r="BJ38" s="97"/>
      <c r="BK38" s="104"/>
      <c r="BL38" s="97"/>
      <c r="BM38" s="97"/>
      <c r="BN38" s="105">
        <f t="shared" si="11"/>
        <v>61.276175438596503</v>
      </c>
      <c r="BO38" s="97"/>
    </row>
    <row r="39" spans="1:67" ht="15.25" customHeight="1">
      <c r="A39" s="15"/>
      <c r="B39" s="66" t="s">
        <v>168</v>
      </c>
      <c r="C39" s="193"/>
      <c r="D39" s="53">
        <v>9</v>
      </c>
      <c r="E39" s="53"/>
      <c r="F39" s="53">
        <v>0</v>
      </c>
      <c r="G39" s="53"/>
      <c r="H39" s="53">
        <f t="shared" si="7"/>
        <v>9</v>
      </c>
      <c r="I39" s="53"/>
      <c r="J39" s="53">
        <v>0</v>
      </c>
      <c r="K39" s="53">
        <f t="shared" si="0"/>
        <v>0</v>
      </c>
      <c r="L39" s="70">
        <f t="shared" si="1"/>
        <v>9</v>
      </c>
      <c r="M39" s="195"/>
      <c r="N39" s="56">
        <v>53.5</v>
      </c>
      <c r="O39" s="56">
        <v>70</v>
      </c>
      <c r="P39" s="56">
        <v>72.2</v>
      </c>
      <c r="Q39" s="56">
        <v>78</v>
      </c>
      <c r="R39" s="56">
        <v>67.400000000000006</v>
      </c>
      <c r="S39" s="56">
        <v>63.8</v>
      </c>
      <c r="T39" s="56">
        <v>63.4</v>
      </c>
      <c r="U39" s="56">
        <v>100</v>
      </c>
      <c r="V39" s="56">
        <v>72.400000000000006</v>
      </c>
      <c r="W39" s="56">
        <v>75</v>
      </c>
      <c r="X39" s="56">
        <v>70</v>
      </c>
      <c r="Y39" s="56">
        <v>60</v>
      </c>
      <c r="Z39" s="56">
        <f t="shared" si="8"/>
        <v>40.4666315789474</v>
      </c>
      <c r="AA39" s="74">
        <f t="shared" si="12"/>
        <v>69.636842105263199</v>
      </c>
      <c r="AB39" s="75"/>
      <c r="AC39" s="79"/>
      <c r="AD39" s="79"/>
      <c r="AE39" s="79"/>
      <c r="AF39" s="79"/>
      <c r="AG39" s="88"/>
      <c r="AH39" s="88"/>
      <c r="AI39" s="90"/>
      <c r="AJ39" s="90"/>
      <c r="AK39" s="90">
        <v>10.5</v>
      </c>
      <c r="AL39" s="90"/>
      <c r="AM39" s="90"/>
      <c r="AN39" s="90"/>
      <c r="AO39" s="88"/>
      <c r="AP39" s="88"/>
      <c r="AQ39" s="88"/>
      <c r="AR39" s="88"/>
      <c r="AS39" s="89">
        <f t="shared" si="10"/>
        <v>10.5</v>
      </c>
      <c r="AT39" s="198"/>
      <c r="AU39" s="96">
        <v>1.5</v>
      </c>
      <c r="AV39" s="96">
        <v>1.5</v>
      </c>
      <c r="AW39" s="96">
        <v>0</v>
      </c>
      <c r="AX39" s="96">
        <v>0</v>
      </c>
      <c r="AY39" s="96">
        <f t="shared" si="2"/>
        <v>3</v>
      </c>
      <c r="AZ39" s="96"/>
      <c r="BA39" s="96">
        <v>0</v>
      </c>
      <c r="BB39" s="96">
        <f t="shared" si="3"/>
        <v>0</v>
      </c>
      <c r="BC39" s="96">
        <v>1</v>
      </c>
      <c r="BD39" s="96"/>
      <c r="BE39" s="96">
        <v>0</v>
      </c>
      <c r="BF39" s="96">
        <v>0</v>
      </c>
      <c r="BG39" s="103">
        <f t="shared" si="4"/>
        <v>1</v>
      </c>
      <c r="BH39" s="103">
        <f t="shared" si="5"/>
        <v>4</v>
      </c>
      <c r="BI39" s="66" t="s">
        <v>168</v>
      </c>
      <c r="BJ39" s="97"/>
      <c r="BK39" s="104"/>
      <c r="BL39" s="97"/>
      <c r="BM39" s="97"/>
      <c r="BN39" s="105">
        <f t="shared" si="11"/>
        <v>53.4666315789474</v>
      </c>
      <c r="BO39" s="97"/>
    </row>
    <row r="40" spans="1:67" ht="15.25" customHeight="1">
      <c r="A40" s="15"/>
      <c r="B40" s="66" t="s">
        <v>169</v>
      </c>
      <c r="C40" s="193"/>
      <c r="D40" s="53">
        <v>9</v>
      </c>
      <c r="E40" s="53"/>
      <c r="F40" s="53">
        <v>0</v>
      </c>
      <c r="G40" s="53"/>
      <c r="H40" s="53">
        <f t="shared" si="7"/>
        <v>9</v>
      </c>
      <c r="I40" s="53"/>
      <c r="J40" s="53"/>
      <c r="K40" s="53">
        <f t="shared" si="0"/>
        <v>0</v>
      </c>
      <c r="L40" s="70">
        <f t="shared" si="1"/>
        <v>9</v>
      </c>
      <c r="M40" s="195"/>
      <c r="N40" s="56">
        <v>79.599999999999994</v>
      </c>
      <c r="O40" s="56">
        <v>70</v>
      </c>
      <c r="P40" s="56">
        <v>70.5</v>
      </c>
      <c r="Q40" s="56">
        <v>71.5</v>
      </c>
      <c r="R40" s="56">
        <v>70.8</v>
      </c>
      <c r="S40" s="56">
        <v>70.599999999999994</v>
      </c>
      <c r="T40" s="56">
        <v>70.900000000000006</v>
      </c>
      <c r="U40" s="56">
        <v>100</v>
      </c>
      <c r="V40" s="56">
        <v>81.099999999999994</v>
      </c>
      <c r="W40" s="56">
        <v>67.3</v>
      </c>
      <c r="X40" s="56">
        <v>61</v>
      </c>
      <c r="Y40" s="56">
        <v>60</v>
      </c>
      <c r="Z40" s="56">
        <f t="shared" si="8"/>
        <v>40.984140350877198</v>
      </c>
      <c r="AA40" s="74">
        <f t="shared" si="12"/>
        <v>73.185964912280696</v>
      </c>
      <c r="AB40" s="75"/>
      <c r="AC40" s="79"/>
      <c r="AD40" s="79"/>
      <c r="AE40" s="79"/>
      <c r="AF40" s="79"/>
      <c r="AG40" s="88"/>
      <c r="AH40" s="88"/>
      <c r="AI40" s="90"/>
      <c r="AJ40" s="90"/>
      <c r="AK40" s="90"/>
      <c r="AL40" s="90"/>
      <c r="AM40" s="90"/>
      <c r="AN40" s="90"/>
      <c r="AO40" s="88"/>
      <c r="AP40" s="88"/>
      <c r="AQ40" s="88"/>
      <c r="AR40" s="88"/>
      <c r="AS40" s="89">
        <f t="shared" si="10"/>
        <v>0</v>
      </c>
      <c r="AT40" s="198"/>
      <c r="AU40" s="96">
        <v>1.5</v>
      </c>
      <c r="AV40" s="96">
        <v>1.5</v>
      </c>
      <c r="AW40" s="96">
        <v>0</v>
      </c>
      <c r="AX40" s="96">
        <v>0</v>
      </c>
      <c r="AY40" s="96">
        <f t="shared" si="2"/>
        <v>3</v>
      </c>
      <c r="AZ40" s="96"/>
      <c r="BA40" s="96">
        <v>0</v>
      </c>
      <c r="BB40" s="96">
        <f t="shared" si="3"/>
        <v>0</v>
      </c>
      <c r="BC40" s="96">
        <v>1</v>
      </c>
      <c r="BD40" s="96"/>
      <c r="BE40" s="96">
        <v>0.4</v>
      </c>
      <c r="BF40" s="96">
        <v>0</v>
      </c>
      <c r="BG40" s="103">
        <f t="shared" si="4"/>
        <v>1.4</v>
      </c>
      <c r="BH40" s="103">
        <f t="shared" si="5"/>
        <v>4.4000000000000004</v>
      </c>
      <c r="BI40" s="66" t="s">
        <v>169</v>
      </c>
      <c r="BJ40" s="97"/>
      <c r="BK40" s="104"/>
      <c r="BL40" s="97"/>
      <c r="BM40" s="97"/>
      <c r="BN40" s="105">
        <f t="shared" si="11"/>
        <v>54.384140350877203</v>
      </c>
      <c r="BO40" s="97"/>
    </row>
    <row r="41" spans="1:67" ht="15.25" customHeight="1">
      <c r="A41" s="15"/>
      <c r="B41" s="66" t="s">
        <v>170</v>
      </c>
      <c r="C41" s="193"/>
      <c r="D41" s="53">
        <v>9</v>
      </c>
      <c r="E41" s="53">
        <v>1</v>
      </c>
      <c r="F41" s="53">
        <v>0</v>
      </c>
      <c r="G41" s="53"/>
      <c r="H41" s="53">
        <f t="shared" si="7"/>
        <v>10</v>
      </c>
      <c r="I41" s="53"/>
      <c r="J41" s="53"/>
      <c r="K41" s="53">
        <f t="shared" si="0"/>
        <v>0</v>
      </c>
      <c r="L41" s="70">
        <f t="shared" si="1"/>
        <v>10</v>
      </c>
      <c r="M41" s="195"/>
      <c r="N41" s="56">
        <v>39.700000000000003</v>
      </c>
      <c r="O41" s="56">
        <v>60</v>
      </c>
      <c r="P41" s="56">
        <v>60</v>
      </c>
      <c r="Q41" s="56">
        <v>63</v>
      </c>
      <c r="R41" s="56">
        <v>48</v>
      </c>
      <c r="S41" s="56">
        <v>52.2</v>
      </c>
      <c r="T41" s="56">
        <v>60.1</v>
      </c>
      <c r="U41" s="56">
        <v>87.8</v>
      </c>
      <c r="V41" s="56">
        <v>78.5</v>
      </c>
      <c r="W41" s="56">
        <v>65</v>
      </c>
      <c r="X41" s="56">
        <v>67</v>
      </c>
      <c r="Y41" s="56">
        <v>60</v>
      </c>
      <c r="Z41" s="56">
        <f t="shared" si="8"/>
        <v>33.373052631579</v>
      </c>
      <c r="AA41" s="74">
        <f t="shared" si="12"/>
        <v>59.594736842105299</v>
      </c>
      <c r="AB41" s="75"/>
      <c r="AC41" s="79"/>
      <c r="AD41" s="79"/>
      <c r="AE41" s="79"/>
      <c r="AF41" s="79"/>
      <c r="AG41" s="88"/>
      <c r="AH41" s="88"/>
      <c r="AI41" s="90"/>
      <c r="AJ41" s="90"/>
      <c r="AK41" s="90"/>
      <c r="AL41" s="90"/>
      <c r="AM41" s="90"/>
      <c r="AN41" s="90"/>
      <c r="AO41" s="88"/>
      <c r="AP41" s="88"/>
      <c r="AQ41" s="88"/>
      <c r="AR41" s="88"/>
      <c r="AS41" s="89">
        <f t="shared" si="10"/>
        <v>0</v>
      </c>
      <c r="AT41" s="198"/>
      <c r="AU41" s="96">
        <v>1.5</v>
      </c>
      <c r="AV41" s="96">
        <v>1.5</v>
      </c>
      <c r="AW41" s="96">
        <v>0</v>
      </c>
      <c r="AX41" s="96">
        <v>0</v>
      </c>
      <c r="AY41" s="96">
        <f t="shared" si="2"/>
        <v>3</v>
      </c>
      <c r="AZ41" s="96"/>
      <c r="BA41" s="96">
        <v>0.8</v>
      </c>
      <c r="BB41" s="96">
        <f t="shared" si="3"/>
        <v>0.8</v>
      </c>
      <c r="BC41" s="96">
        <v>1</v>
      </c>
      <c r="BD41" s="96"/>
      <c r="BE41" s="96">
        <v>0</v>
      </c>
      <c r="BF41" s="96">
        <v>0</v>
      </c>
      <c r="BG41" s="103">
        <f t="shared" si="4"/>
        <v>1</v>
      </c>
      <c r="BH41" s="103">
        <f t="shared" si="5"/>
        <v>4.8</v>
      </c>
      <c r="BI41" s="66" t="s">
        <v>170</v>
      </c>
      <c r="BJ41" s="97"/>
      <c r="BK41" s="104"/>
      <c r="BL41" s="97"/>
      <c r="BM41" s="97"/>
      <c r="BN41" s="105">
        <f t="shared" si="11"/>
        <v>48.173052631578997</v>
      </c>
      <c r="BO41" s="97"/>
    </row>
    <row r="42" spans="1:67" ht="15.25" customHeight="1">
      <c r="A42" s="15"/>
      <c r="B42" s="66" t="s">
        <v>171</v>
      </c>
      <c r="C42" s="193"/>
      <c r="D42" s="53">
        <v>9</v>
      </c>
      <c r="E42" s="53"/>
      <c r="F42" s="53">
        <v>0</v>
      </c>
      <c r="G42" s="53"/>
      <c r="H42" s="53">
        <f t="shared" si="7"/>
        <v>9</v>
      </c>
      <c r="I42" s="53"/>
      <c r="J42" s="53"/>
      <c r="K42" s="53">
        <f t="shared" si="0"/>
        <v>0</v>
      </c>
      <c r="L42" s="70">
        <f t="shared" si="1"/>
        <v>9</v>
      </c>
      <c r="M42" s="195"/>
      <c r="N42" s="56">
        <v>75.3</v>
      </c>
      <c r="O42" s="56">
        <v>60</v>
      </c>
      <c r="P42" s="56">
        <v>61.2</v>
      </c>
      <c r="Q42" s="56">
        <v>72.5</v>
      </c>
      <c r="R42" s="56">
        <v>86.6</v>
      </c>
      <c r="S42" s="56">
        <v>78</v>
      </c>
      <c r="T42" s="56">
        <v>73.7</v>
      </c>
      <c r="U42" s="56">
        <v>99.9</v>
      </c>
      <c r="V42" s="56">
        <v>86.1</v>
      </c>
      <c r="W42" s="56">
        <v>81.099999999999994</v>
      </c>
      <c r="X42" s="56">
        <v>81</v>
      </c>
      <c r="Y42" s="56">
        <v>60</v>
      </c>
      <c r="Z42" s="56">
        <f t="shared" si="8"/>
        <v>43.887298245613998</v>
      </c>
      <c r="AA42" s="74">
        <f t="shared" si="12"/>
        <v>78.370175438596505</v>
      </c>
      <c r="AB42" s="75"/>
      <c r="AC42" s="79"/>
      <c r="AD42" s="79"/>
      <c r="AE42" s="79"/>
      <c r="AF42" s="79"/>
      <c r="AG42" s="88"/>
      <c r="AH42" s="88"/>
      <c r="AI42" s="90"/>
      <c r="AJ42" s="90"/>
      <c r="AK42" s="90"/>
      <c r="AL42" s="90"/>
      <c r="AM42" s="90"/>
      <c r="AN42" s="90"/>
      <c r="AO42" s="88"/>
      <c r="AP42" s="88"/>
      <c r="AQ42" s="88"/>
      <c r="AR42" s="88"/>
      <c r="AS42" s="89">
        <f t="shared" si="10"/>
        <v>0</v>
      </c>
      <c r="AT42" s="198"/>
      <c r="AU42" s="96">
        <v>1.5</v>
      </c>
      <c r="AV42" s="96">
        <v>1.5</v>
      </c>
      <c r="AW42" s="96">
        <v>0</v>
      </c>
      <c r="AX42" s="96">
        <v>0</v>
      </c>
      <c r="AY42" s="96">
        <f t="shared" si="2"/>
        <v>3</v>
      </c>
      <c r="AZ42" s="96"/>
      <c r="BA42" s="96">
        <v>0</v>
      </c>
      <c r="BB42" s="96">
        <f t="shared" si="3"/>
        <v>0</v>
      </c>
      <c r="BC42" s="96">
        <v>1</v>
      </c>
      <c r="BD42" s="96"/>
      <c r="BE42" s="96">
        <v>0</v>
      </c>
      <c r="BF42" s="96">
        <v>0</v>
      </c>
      <c r="BG42" s="103">
        <f t="shared" si="4"/>
        <v>1</v>
      </c>
      <c r="BH42" s="103">
        <f t="shared" si="5"/>
        <v>4</v>
      </c>
      <c r="BI42" s="66" t="s">
        <v>171</v>
      </c>
      <c r="BJ42" s="97"/>
      <c r="BK42" s="104"/>
      <c r="BL42" s="97"/>
      <c r="BM42" s="97"/>
      <c r="BN42" s="105">
        <f t="shared" si="11"/>
        <v>56.887298245613998</v>
      </c>
      <c r="BO42" s="97"/>
    </row>
    <row r="43" spans="1:67" ht="15.25" customHeight="1">
      <c r="A43" s="15"/>
      <c r="B43" s="66" t="s">
        <v>172</v>
      </c>
      <c r="C43" s="193"/>
      <c r="D43" s="53">
        <v>9</v>
      </c>
      <c r="E43" s="53"/>
      <c r="F43" s="53">
        <v>0</v>
      </c>
      <c r="G43" s="53"/>
      <c r="H43" s="53">
        <f t="shared" si="7"/>
        <v>9</v>
      </c>
      <c r="I43" s="53"/>
      <c r="J43" s="53"/>
      <c r="K43" s="53">
        <f t="shared" si="0"/>
        <v>0</v>
      </c>
      <c r="L43" s="70">
        <f t="shared" si="1"/>
        <v>9</v>
      </c>
      <c r="M43" s="195"/>
      <c r="N43" s="56">
        <v>60.9</v>
      </c>
      <c r="O43" s="56">
        <v>80</v>
      </c>
      <c r="P43" s="56">
        <v>62.5</v>
      </c>
      <c r="Q43" s="56">
        <v>80.5</v>
      </c>
      <c r="R43" s="56">
        <v>37.799999999999997</v>
      </c>
      <c r="S43" s="56">
        <v>62.6</v>
      </c>
      <c r="T43" s="56">
        <v>63</v>
      </c>
      <c r="U43" s="56">
        <v>99.7</v>
      </c>
      <c r="V43" s="56">
        <v>78.8</v>
      </c>
      <c r="W43" s="56">
        <v>73.8</v>
      </c>
      <c r="X43" s="56">
        <v>60</v>
      </c>
      <c r="Y43" s="56">
        <v>60</v>
      </c>
      <c r="Z43" s="56">
        <f t="shared" si="8"/>
        <v>36.526736842105301</v>
      </c>
      <c r="AA43" s="74">
        <f t="shared" si="12"/>
        <v>65.226315789473702</v>
      </c>
      <c r="AB43" s="75"/>
      <c r="AC43" s="79"/>
      <c r="AD43" s="79"/>
      <c r="AE43" s="79"/>
      <c r="AF43" s="79"/>
      <c r="AG43" s="88"/>
      <c r="AH43" s="88"/>
      <c r="AI43" s="90"/>
      <c r="AJ43" s="90"/>
      <c r="AK43" s="90"/>
      <c r="AL43" s="90"/>
      <c r="AM43" s="90"/>
      <c r="AN43" s="90"/>
      <c r="AO43" s="88"/>
      <c r="AP43" s="88"/>
      <c r="AQ43" s="88"/>
      <c r="AR43" s="88"/>
      <c r="AS43" s="89">
        <f t="shared" si="10"/>
        <v>0</v>
      </c>
      <c r="AT43" s="198"/>
      <c r="AU43" s="97">
        <v>1.5</v>
      </c>
      <c r="AV43" s="97">
        <v>1.5</v>
      </c>
      <c r="AW43" s="96">
        <v>0</v>
      </c>
      <c r="AX43" s="96">
        <v>0</v>
      </c>
      <c r="AY43" s="96">
        <f t="shared" si="2"/>
        <v>3</v>
      </c>
      <c r="AZ43" s="96"/>
      <c r="BA43" s="96">
        <v>0</v>
      </c>
      <c r="BB43" s="96">
        <f t="shared" si="3"/>
        <v>0</v>
      </c>
      <c r="BC43" s="96">
        <v>1</v>
      </c>
      <c r="BD43" s="96"/>
      <c r="BE43" s="96">
        <v>0</v>
      </c>
      <c r="BF43" s="96">
        <v>0</v>
      </c>
      <c r="BG43" s="103">
        <f t="shared" si="4"/>
        <v>1</v>
      </c>
      <c r="BH43" s="103">
        <f t="shared" si="5"/>
        <v>4</v>
      </c>
      <c r="BI43" s="66" t="s">
        <v>172</v>
      </c>
      <c r="BJ43" s="97"/>
      <c r="BK43" s="104"/>
      <c r="BL43" s="97"/>
      <c r="BM43" s="97"/>
      <c r="BN43" s="105">
        <f t="shared" si="11"/>
        <v>49.526736842105301</v>
      </c>
      <c r="BO43" s="97"/>
    </row>
    <row r="44" spans="1:67" ht="16.399999999999999" customHeight="1">
      <c r="A44" s="15"/>
      <c r="B44" s="66" t="s">
        <v>173</v>
      </c>
      <c r="C44" s="193"/>
      <c r="D44" s="53">
        <v>9</v>
      </c>
      <c r="E44" s="53"/>
      <c r="F44" s="53">
        <v>0</v>
      </c>
      <c r="G44" s="53"/>
      <c r="H44" s="53">
        <f t="shared" si="7"/>
        <v>9</v>
      </c>
      <c r="I44" s="53">
        <v>-2</v>
      </c>
      <c r="J44" s="53">
        <v>0</v>
      </c>
      <c r="K44" s="53">
        <f t="shared" si="0"/>
        <v>-2</v>
      </c>
      <c r="L44" s="70">
        <f t="shared" si="1"/>
        <v>7</v>
      </c>
      <c r="M44" s="195"/>
      <c r="N44" s="56">
        <v>42.7</v>
      </c>
      <c r="O44" s="56">
        <v>70</v>
      </c>
      <c r="P44" s="56">
        <v>58.7</v>
      </c>
      <c r="Q44" s="56">
        <v>68</v>
      </c>
      <c r="R44" s="56">
        <v>60.2</v>
      </c>
      <c r="S44" s="56">
        <v>50.6</v>
      </c>
      <c r="T44" s="56">
        <v>48.2</v>
      </c>
      <c r="U44" s="56">
        <v>11.8</v>
      </c>
      <c r="V44" s="56">
        <v>82.8</v>
      </c>
      <c r="W44" s="56">
        <v>66.400000000000006</v>
      </c>
      <c r="X44" s="56">
        <v>58</v>
      </c>
      <c r="Y44" s="56">
        <v>60</v>
      </c>
      <c r="Z44" s="56">
        <f t="shared" si="8"/>
        <v>30.763649122806999</v>
      </c>
      <c r="AA44" s="74">
        <f t="shared" si="12"/>
        <v>54.935087719298302</v>
      </c>
      <c r="AB44" s="75"/>
      <c r="AC44" s="79"/>
      <c r="AD44" s="79"/>
      <c r="AE44" s="79"/>
      <c r="AF44" s="79"/>
      <c r="AG44" s="88"/>
      <c r="AH44" s="88"/>
      <c r="AI44" s="90"/>
      <c r="AJ44" s="90"/>
      <c r="AK44" s="90"/>
      <c r="AL44" s="90"/>
      <c r="AM44" s="90"/>
      <c r="AN44" s="90"/>
      <c r="AO44" s="88"/>
      <c r="AP44" s="88"/>
      <c r="AQ44" s="88"/>
      <c r="AR44" s="88"/>
      <c r="AS44" s="89">
        <f t="shared" si="10"/>
        <v>0</v>
      </c>
      <c r="AT44" s="198"/>
      <c r="AU44" s="97">
        <v>1.5</v>
      </c>
      <c r="AV44" s="97">
        <v>1.5</v>
      </c>
      <c r="AW44" s="96">
        <v>0</v>
      </c>
      <c r="AX44" s="96">
        <v>0</v>
      </c>
      <c r="AY44" s="96">
        <f t="shared" si="2"/>
        <v>3</v>
      </c>
      <c r="AZ44" s="96"/>
      <c r="BA44" s="96">
        <v>0</v>
      </c>
      <c r="BB44" s="96">
        <f t="shared" si="3"/>
        <v>0</v>
      </c>
      <c r="BC44" s="96">
        <v>1</v>
      </c>
      <c r="BD44" s="96"/>
      <c r="BE44" s="96">
        <v>0</v>
      </c>
      <c r="BF44" s="96">
        <v>0</v>
      </c>
      <c r="BG44" s="103">
        <f t="shared" si="4"/>
        <v>1</v>
      </c>
      <c r="BH44" s="103">
        <f t="shared" si="5"/>
        <v>4</v>
      </c>
      <c r="BI44" s="66" t="s">
        <v>173</v>
      </c>
      <c r="BJ44" s="97"/>
      <c r="BK44" s="104"/>
      <c r="BL44" s="97"/>
      <c r="BM44" s="97"/>
      <c r="BN44" s="105">
        <f t="shared" si="11"/>
        <v>41.763649122807003</v>
      </c>
      <c r="BO44" s="97"/>
    </row>
    <row r="45" spans="1:67" ht="16.399999999999999" customHeight="1">
      <c r="A45" s="15"/>
      <c r="B45" s="66" t="s">
        <v>174</v>
      </c>
      <c r="C45" s="193"/>
      <c r="D45" s="53">
        <v>9</v>
      </c>
      <c r="E45" s="53"/>
      <c r="F45" s="53"/>
      <c r="G45" s="53"/>
      <c r="H45" s="53">
        <f t="shared" si="7"/>
        <v>9</v>
      </c>
      <c r="I45" s="53"/>
      <c r="J45" s="53"/>
      <c r="K45" s="53"/>
      <c r="L45" s="70">
        <f t="shared" si="1"/>
        <v>9</v>
      </c>
      <c r="M45" s="195"/>
      <c r="N45" s="56">
        <v>60</v>
      </c>
      <c r="O45" s="56">
        <v>0</v>
      </c>
      <c r="P45" s="56">
        <v>0</v>
      </c>
      <c r="Q45" s="56">
        <v>0</v>
      </c>
      <c r="R45" s="56">
        <v>41.8</v>
      </c>
      <c r="S45" s="56">
        <v>47</v>
      </c>
      <c r="T45" s="56">
        <v>0</v>
      </c>
      <c r="U45" s="56">
        <v>0</v>
      </c>
      <c r="V45" s="56">
        <v>0</v>
      </c>
      <c r="W45" s="56">
        <v>64.8</v>
      </c>
      <c r="X45" s="56">
        <v>53</v>
      </c>
      <c r="Y45" s="56">
        <v>0</v>
      </c>
      <c r="Z45" s="56">
        <f t="shared" si="8"/>
        <v>28.656551724137898</v>
      </c>
      <c r="AA45" s="74">
        <f>(N45*3.5+R45*4+S45*3+W45*1+X45*3)/(3.5+4+3+1+3)</f>
        <v>51.172413793103402</v>
      </c>
      <c r="AB45" s="75"/>
      <c r="AC45" s="79"/>
      <c r="AD45" s="79"/>
      <c r="AE45" s="79"/>
      <c r="AF45" s="79"/>
      <c r="AG45" s="88"/>
      <c r="AH45" s="88"/>
      <c r="AI45" s="90"/>
      <c r="AJ45" s="90"/>
      <c r="AK45" s="90"/>
      <c r="AL45" s="90"/>
      <c r="AM45" s="90"/>
      <c r="AN45" s="90"/>
      <c r="AO45" s="88"/>
      <c r="AP45" s="88"/>
      <c r="AQ45" s="88"/>
      <c r="AR45" s="88"/>
      <c r="AS45" s="89">
        <f t="shared" si="10"/>
        <v>0</v>
      </c>
      <c r="AT45" s="198"/>
      <c r="AU45" s="97">
        <v>1.5</v>
      </c>
      <c r="AV45" s="97">
        <v>1.5</v>
      </c>
      <c r="AW45" s="96"/>
      <c r="AX45" s="96"/>
      <c r="AY45" s="96">
        <f t="shared" si="2"/>
        <v>3</v>
      </c>
      <c r="AZ45" s="96"/>
      <c r="BA45" s="96"/>
      <c r="BB45" s="96">
        <v>0</v>
      </c>
      <c r="BC45" s="96">
        <v>1</v>
      </c>
      <c r="BD45" s="96"/>
      <c r="BE45" s="96"/>
      <c r="BF45" s="96"/>
      <c r="BG45" s="103">
        <f t="shared" si="4"/>
        <v>1</v>
      </c>
      <c r="BH45" s="103">
        <f t="shared" si="5"/>
        <v>4</v>
      </c>
      <c r="BI45" s="66" t="s">
        <v>174</v>
      </c>
      <c r="BJ45" s="97"/>
      <c r="BK45" s="104"/>
      <c r="BL45" s="97"/>
      <c r="BM45" s="97"/>
      <c r="BN45" s="105">
        <f t="shared" si="11"/>
        <v>41.656551724137898</v>
      </c>
      <c r="BO45" s="97"/>
    </row>
    <row r="46" spans="1:67" ht="16.399999999999999" customHeight="1">
      <c r="A46" s="15"/>
      <c r="B46" s="66" t="s">
        <v>175</v>
      </c>
      <c r="C46" s="193"/>
      <c r="D46" s="53">
        <v>9</v>
      </c>
      <c r="E46" s="53"/>
      <c r="F46" s="53"/>
      <c r="G46" s="53"/>
      <c r="H46" s="53">
        <f t="shared" si="7"/>
        <v>9</v>
      </c>
      <c r="I46" s="53"/>
      <c r="J46" s="53"/>
      <c r="K46" s="53"/>
      <c r="L46" s="70">
        <f t="shared" si="1"/>
        <v>9</v>
      </c>
      <c r="M46" s="195"/>
      <c r="N46" s="56">
        <v>63.9</v>
      </c>
      <c r="O46" s="56">
        <v>0</v>
      </c>
      <c r="P46" s="56">
        <v>67.599999999999994</v>
      </c>
      <c r="Q46" s="56">
        <v>0</v>
      </c>
      <c r="R46" s="56">
        <v>0</v>
      </c>
      <c r="S46" s="56">
        <v>62.6</v>
      </c>
      <c r="T46" s="56">
        <v>0</v>
      </c>
      <c r="U46" s="56">
        <v>0</v>
      </c>
      <c r="V46" s="56">
        <v>0</v>
      </c>
      <c r="W46" s="56">
        <v>66.7</v>
      </c>
      <c r="X46" s="56">
        <v>61</v>
      </c>
      <c r="Y46" s="56">
        <v>0</v>
      </c>
      <c r="Z46" s="56">
        <f t="shared" si="8"/>
        <v>35.676479999999998</v>
      </c>
      <c r="AA46" s="74">
        <f>(N46*3.5+P46*2+S46*3+W46*1+X46*3)/(3.5+2+3+1+3)</f>
        <v>63.707999999999998</v>
      </c>
      <c r="AB46" s="75"/>
      <c r="AC46" s="78"/>
      <c r="AD46" s="78"/>
      <c r="AE46" s="78"/>
      <c r="AF46" s="79"/>
      <c r="AG46" s="88"/>
      <c r="AH46" s="88"/>
      <c r="AI46" s="90"/>
      <c r="AJ46" s="90"/>
      <c r="AK46" s="90"/>
      <c r="AL46" s="90"/>
      <c r="AM46" s="90"/>
      <c r="AN46" s="90"/>
      <c r="AO46" s="88"/>
      <c r="AP46" s="88"/>
      <c r="AQ46" s="88"/>
      <c r="AR46" s="88"/>
      <c r="AS46" s="89">
        <f t="shared" si="10"/>
        <v>0</v>
      </c>
      <c r="AT46" s="198"/>
      <c r="AU46" s="97">
        <v>1.5</v>
      </c>
      <c r="AV46" s="97">
        <v>1.5</v>
      </c>
      <c r="AW46" s="96"/>
      <c r="AX46" s="96"/>
      <c r="AY46" s="96">
        <f t="shared" si="2"/>
        <v>3</v>
      </c>
      <c r="AZ46" s="96"/>
      <c r="BA46" s="96"/>
      <c r="BB46" s="96">
        <v>0</v>
      </c>
      <c r="BC46" s="96">
        <v>1</v>
      </c>
      <c r="BD46" s="96"/>
      <c r="BE46" s="96"/>
      <c r="BF46" s="96"/>
      <c r="BG46" s="103">
        <f t="shared" si="4"/>
        <v>1</v>
      </c>
      <c r="BH46" s="103">
        <f t="shared" si="5"/>
        <v>4</v>
      </c>
      <c r="BI46" s="66" t="s">
        <v>175</v>
      </c>
      <c r="BJ46" s="97"/>
      <c r="BK46" s="104"/>
      <c r="BL46" s="97"/>
      <c r="BM46" s="97"/>
      <c r="BN46" s="105">
        <f t="shared" si="11"/>
        <v>48.676479999999998</v>
      </c>
      <c r="BO46" s="97"/>
    </row>
    <row r="47" spans="1:67" ht="16.399999999999999" customHeight="1">
      <c r="A47" s="15"/>
      <c r="B47" s="66" t="s">
        <v>176</v>
      </c>
      <c r="C47" s="193"/>
      <c r="D47" s="53">
        <v>9</v>
      </c>
      <c r="E47" s="53"/>
      <c r="F47" s="53"/>
      <c r="G47" s="53"/>
      <c r="H47" s="53">
        <f t="shared" si="7"/>
        <v>9</v>
      </c>
      <c r="I47" s="53"/>
      <c r="J47" s="53"/>
      <c r="K47" s="53"/>
      <c r="L47" s="70">
        <f t="shared" si="1"/>
        <v>9</v>
      </c>
      <c r="M47" s="195"/>
      <c r="N47" s="56">
        <v>0</v>
      </c>
      <c r="O47" s="56">
        <v>0</v>
      </c>
      <c r="P47" s="56">
        <v>47.6</v>
      </c>
      <c r="Q47" s="56">
        <v>0</v>
      </c>
      <c r="R47" s="56">
        <v>33.6</v>
      </c>
      <c r="S47" s="56"/>
      <c r="T47" s="56"/>
      <c r="U47" s="56"/>
      <c r="V47" s="56">
        <v>0</v>
      </c>
      <c r="W47" s="56">
        <v>0</v>
      </c>
      <c r="X47" s="56">
        <v>0</v>
      </c>
      <c r="Y47" s="56">
        <v>0</v>
      </c>
      <c r="Z47" s="56">
        <f t="shared" si="8"/>
        <v>21.4293333333334</v>
      </c>
      <c r="AA47" s="74">
        <f>(P47*2+R47*4)/(2+4)</f>
        <v>38.266666666666701</v>
      </c>
      <c r="AB47" s="75"/>
      <c r="AC47" s="78"/>
      <c r="AD47" s="78"/>
      <c r="AE47" s="78"/>
      <c r="AF47" s="79"/>
      <c r="AG47" s="88"/>
      <c r="AH47" s="88"/>
      <c r="AI47" s="90"/>
      <c r="AJ47" s="90"/>
      <c r="AK47" s="90"/>
      <c r="AL47" s="90"/>
      <c r="AM47" s="90"/>
      <c r="AN47" s="90"/>
      <c r="AO47" s="88"/>
      <c r="AP47" s="88"/>
      <c r="AQ47" s="88"/>
      <c r="AR47" s="88"/>
      <c r="AS47" s="89">
        <f t="shared" si="10"/>
        <v>0</v>
      </c>
      <c r="AT47" s="198"/>
      <c r="AU47" s="97">
        <v>1.5</v>
      </c>
      <c r="AV47" s="97">
        <v>1.5</v>
      </c>
      <c r="AW47" s="96"/>
      <c r="AX47" s="96"/>
      <c r="AY47" s="96">
        <f t="shared" si="2"/>
        <v>3</v>
      </c>
      <c r="AZ47" s="96"/>
      <c r="BA47" s="96"/>
      <c r="BB47" s="96">
        <v>0</v>
      </c>
      <c r="BC47" s="96">
        <v>1</v>
      </c>
      <c r="BD47" s="96"/>
      <c r="BE47" s="96"/>
      <c r="BF47" s="96"/>
      <c r="BG47" s="103">
        <f t="shared" si="4"/>
        <v>1</v>
      </c>
      <c r="BH47" s="103">
        <f t="shared" si="5"/>
        <v>4</v>
      </c>
      <c r="BI47" s="66" t="s">
        <v>176</v>
      </c>
      <c r="BJ47" s="97"/>
      <c r="BK47" s="104"/>
      <c r="BL47" s="97"/>
      <c r="BM47" s="97"/>
      <c r="BN47" s="105">
        <f t="shared" si="11"/>
        <v>34.429333333333403</v>
      </c>
      <c r="BO47" s="97"/>
    </row>
    <row r="48" spans="1:67" ht="16.399999999999999" customHeight="1">
      <c r="A48" s="15"/>
      <c r="B48" s="66" t="s">
        <v>177</v>
      </c>
      <c r="C48" s="194"/>
      <c r="D48" s="53">
        <v>9</v>
      </c>
      <c r="E48" s="53"/>
      <c r="F48" s="53"/>
      <c r="G48" s="53"/>
      <c r="H48" s="53">
        <f t="shared" si="7"/>
        <v>9</v>
      </c>
      <c r="I48" s="53"/>
      <c r="J48" s="53"/>
      <c r="K48" s="53"/>
      <c r="L48" s="70">
        <f t="shared" si="1"/>
        <v>9</v>
      </c>
      <c r="M48" s="196"/>
      <c r="N48" s="56"/>
      <c r="O48" s="56"/>
      <c r="P48" s="56"/>
      <c r="Q48" s="56"/>
      <c r="R48" s="56"/>
      <c r="S48" s="56"/>
      <c r="T48" s="56"/>
      <c r="U48" s="56"/>
      <c r="V48" s="56"/>
      <c r="W48" s="56">
        <v>65.599999999999994</v>
      </c>
      <c r="X48" s="56">
        <v>54</v>
      </c>
      <c r="Y48" s="56">
        <v>0</v>
      </c>
      <c r="Z48" s="56">
        <f t="shared" si="8"/>
        <v>31.864000000000001</v>
      </c>
      <c r="AA48" s="74">
        <f>(W48*1+X48*3)/4</f>
        <v>56.9</v>
      </c>
      <c r="AB48" s="75"/>
      <c r="AC48" s="81"/>
      <c r="AD48" s="81"/>
      <c r="AE48" s="81"/>
      <c r="AF48" s="82"/>
      <c r="AG48" s="91"/>
      <c r="AH48" s="91"/>
      <c r="AI48" s="92"/>
      <c r="AJ48" s="92"/>
      <c r="AK48" s="92"/>
      <c r="AL48" s="92"/>
      <c r="AM48" s="92"/>
      <c r="AN48" s="92"/>
      <c r="AO48" s="91"/>
      <c r="AP48" s="91"/>
      <c r="AQ48" s="91"/>
      <c r="AR48" s="91"/>
      <c r="AS48" s="89">
        <f t="shared" si="10"/>
        <v>0</v>
      </c>
      <c r="AT48" s="199"/>
      <c r="AU48" s="97">
        <v>1.5</v>
      </c>
      <c r="AV48" s="97">
        <v>1.5</v>
      </c>
      <c r="AW48" s="96"/>
      <c r="AX48" s="96"/>
      <c r="AY48" s="96">
        <f t="shared" si="2"/>
        <v>3</v>
      </c>
      <c r="AZ48" s="96"/>
      <c r="BA48" s="96"/>
      <c r="BB48" s="96">
        <v>0</v>
      </c>
      <c r="BC48" s="96">
        <v>1</v>
      </c>
      <c r="BD48" s="96"/>
      <c r="BE48" s="96"/>
      <c r="BF48" s="96"/>
      <c r="BG48" s="103">
        <f t="shared" si="4"/>
        <v>1</v>
      </c>
      <c r="BH48" s="103">
        <f t="shared" si="5"/>
        <v>4</v>
      </c>
      <c r="BI48" s="66" t="s">
        <v>177</v>
      </c>
      <c r="BJ48" s="97"/>
      <c r="BK48" s="104"/>
      <c r="BL48" s="97"/>
      <c r="BM48" s="97"/>
      <c r="BN48" s="105">
        <f t="shared" si="11"/>
        <v>44.863999999999997</v>
      </c>
      <c r="BO48" s="97"/>
    </row>
  </sheetData>
  <autoFilter ref="BI2:BO48" xr:uid="{00000000-0009-0000-0000-000001000000}"/>
  <mergeCells count="11">
    <mergeCell ref="AZ1:BA1"/>
    <mergeCell ref="BC1:BF1"/>
    <mergeCell ref="BI1:BO1"/>
    <mergeCell ref="C3:C48"/>
    <mergeCell ref="M3:M48"/>
    <mergeCell ref="AT3:AT48"/>
    <mergeCell ref="A1:B1"/>
    <mergeCell ref="C1:L1"/>
    <mergeCell ref="M1:AB1"/>
    <mergeCell ref="AC1:AS1"/>
    <mergeCell ref="AU1:AX1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I47"/>
  <sheetViews>
    <sheetView workbookViewId="0"/>
  </sheetViews>
  <sheetFormatPr defaultColWidth="8.15234375" defaultRowHeight="14.5" customHeight="1"/>
  <cols>
    <col min="2" max="2" width="18.3046875" style="2" customWidth="1"/>
    <col min="3" max="3" width="23.15234375" style="2" customWidth="1"/>
    <col min="12" max="12" width="15.15234375" style="2" customWidth="1"/>
    <col min="24" max="24" width="19.69140625" style="2" customWidth="1"/>
    <col min="27" max="27" width="24" style="2" customWidth="1"/>
    <col min="34" max="34" width="23.3046875" style="2" customWidth="1"/>
    <col min="35" max="35" width="17.4609375" style="2" customWidth="1"/>
    <col min="36" max="36" width="27.15234375" style="2" customWidth="1"/>
    <col min="45" max="45" width="21.15234375" style="2" customWidth="1"/>
    <col min="53" max="53" width="10.15234375" style="2" customWidth="1"/>
    <col min="54" max="54" width="16.84375" style="2" customWidth="1"/>
    <col min="105" max="105" width="12.3046875" style="2" customWidth="1"/>
    <col min="106" max="106" width="9.15234375" style="2" customWidth="1"/>
    <col min="107" max="108" width="10.15234375" style="2" customWidth="1"/>
    <col min="109" max="109" width="9.84375" style="2" customWidth="1"/>
  </cols>
  <sheetData>
    <row r="1" spans="1:113" ht="14.5" customHeight="1">
      <c r="A1" s="40" t="s">
        <v>7</v>
      </c>
      <c r="B1" s="41" t="s">
        <v>9</v>
      </c>
      <c r="C1" s="41" t="s">
        <v>178</v>
      </c>
      <c r="D1" s="41" t="s">
        <v>179</v>
      </c>
      <c r="E1" s="41" t="s">
        <v>180</v>
      </c>
      <c r="F1" s="41" t="s">
        <v>181</v>
      </c>
      <c r="G1" s="41" t="s">
        <v>182</v>
      </c>
      <c r="H1" s="41" t="s">
        <v>183</v>
      </c>
      <c r="I1" s="41" t="s">
        <v>184</v>
      </c>
      <c r="J1" s="41" t="s">
        <v>88</v>
      </c>
      <c r="K1" s="41" t="s">
        <v>185</v>
      </c>
      <c r="L1" s="41" t="s">
        <v>186</v>
      </c>
      <c r="M1" s="41" t="s">
        <v>187</v>
      </c>
      <c r="N1" s="41" t="s">
        <v>188</v>
      </c>
      <c r="O1" s="41" t="s">
        <v>189</v>
      </c>
      <c r="P1" s="40" t="s">
        <v>190</v>
      </c>
      <c r="Q1" s="40" t="s">
        <v>191</v>
      </c>
      <c r="R1" s="40" t="s">
        <v>192</v>
      </c>
      <c r="S1" s="40" t="s">
        <v>193</v>
      </c>
      <c r="T1" s="40" t="s">
        <v>194</v>
      </c>
      <c r="U1" s="40" t="s">
        <v>195</v>
      </c>
      <c r="V1" s="40" t="s">
        <v>196</v>
      </c>
      <c r="W1" s="41" t="s">
        <v>197</v>
      </c>
      <c r="X1" s="41" t="s">
        <v>198</v>
      </c>
      <c r="Y1" s="41" t="s">
        <v>199</v>
      </c>
      <c r="Z1" s="41" t="s">
        <v>200</v>
      </c>
      <c r="AA1" s="41" t="s">
        <v>201</v>
      </c>
      <c r="AB1" s="41" t="s">
        <v>202</v>
      </c>
      <c r="AC1" s="41" t="s">
        <v>203</v>
      </c>
      <c r="AD1" s="41" t="s">
        <v>77</v>
      </c>
      <c r="AE1" s="41" t="s">
        <v>204</v>
      </c>
      <c r="AF1" s="41" t="s">
        <v>205</v>
      </c>
      <c r="AG1" s="41" t="s">
        <v>206</v>
      </c>
      <c r="AH1" s="41" t="s">
        <v>207</v>
      </c>
      <c r="AI1" s="41" t="s">
        <v>208</v>
      </c>
      <c r="AJ1" s="41" t="s">
        <v>209</v>
      </c>
      <c r="AK1" s="41" t="s">
        <v>210</v>
      </c>
      <c r="AL1" s="41" t="s">
        <v>211</v>
      </c>
      <c r="AM1" s="41" t="s">
        <v>212</v>
      </c>
      <c r="AN1" s="41" t="s">
        <v>213</v>
      </c>
      <c r="AO1" s="41" t="s">
        <v>110</v>
      </c>
      <c r="AP1" s="41" t="s">
        <v>214</v>
      </c>
      <c r="AQ1" s="41" t="s">
        <v>215</v>
      </c>
      <c r="AR1" s="41" t="s">
        <v>216</v>
      </c>
      <c r="AS1" s="41" t="s">
        <v>217</v>
      </c>
      <c r="AT1" s="41" t="s">
        <v>218</v>
      </c>
      <c r="AU1" s="41" t="s">
        <v>219</v>
      </c>
      <c r="AV1" s="41" t="s">
        <v>220</v>
      </c>
      <c r="AW1" s="41" t="s">
        <v>221</v>
      </c>
      <c r="AX1" s="41" t="s">
        <v>222</v>
      </c>
      <c r="AY1" s="41" t="s">
        <v>223</v>
      </c>
      <c r="AZ1" s="41" t="s">
        <v>224</v>
      </c>
      <c r="BA1" s="41" t="s">
        <v>225</v>
      </c>
      <c r="BB1" s="41" t="s">
        <v>226</v>
      </c>
      <c r="BC1" s="41" t="s">
        <v>227</v>
      </c>
      <c r="BD1" s="41" t="s">
        <v>228</v>
      </c>
      <c r="BE1" s="41" t="s">
        <v>229</v>
      </c>
      <c r="BF1" s="41" t="s">
        <v>230</v>
      </c>
      <c r="BG1" s="41" t="s">
        <v>231</v>
      </c>
      <c r="BH1" s="41" t="s">
        <v>232</v>
      </c>
      <c r="BI1" s="41" t="s">
        <v>233</v>
      </c>
      <c r="BJ1" s="41" t="s">
        <v>234</v>
      </c>
      <c r="BK1" s="41" t="s">
        <v>235</v>
      </c>
      <c r="BL1" s="41" t="s">
        <v>236</v>
      </c>
      <c r="BM1" s="41" t="s">
        <v>237</v>
      </c>
      <c r="BN1" s="41" t="s">
        <v>238</v>
      </c>
      <c r="BO1" s="41" t="s">
        <v>239</v>
      </c>
      <c r="BP1" s="41" t="s">
        <v>240</v>
      </c>
      <c r="BQ1" s="41" t="s">
        <v>241</v>
      </c>
      <c r="BR1" s="41" t="s">
        <v>242</v>
      </c>
      <c r="BS1" s="41" t="s">
        <v>243</v>
      </c>
      <c r="BT1" s="41" t="s">
        <v>244</v>
      </c>
      <c r="BU1" s="41" t="s">
        <v>245</v>
      </c>
      <c r="BV1" s="41" t="s">
        <v>246</v>
      </c>
      <c r="BW1" s="41" t="s">
        <v>247</v>
      </c>
      <c r="BX1" s="41" t="s">
        <v>248</v>
      </c>
      <c r="BY1" s="41" t="s">
        <v>249</v>
      </c>
      <c r="BZ1" s="41" t="s">
        <v>250</v>
      </c>
      <c r="CA1" s="41" t="s">
        <v>251</v>
      </c>
      <c r="CB1" s="41" t="s">
        <v>252</v>
      </c>
      <c r="CC1" s="41" t="s">
        <v>248</v>
      </c>
      <c r="CD1" s="41" t="s">
        <v>253</v>
      </c>
      <c r="CE1" s="41" t="s">
        <v>254</v>
      </c>
      <c r="CF1" s="41" t="s">
        <v>255</v>
      </c>
      <c r="CG1" s="41" t="s">
        <v>256</v>
      </c>
      <c r="CH1" s="41" t="s">
        <v>257</v>
      </c>
      <c r="CI1" s="41" t="s">
        <v>258</v>
      </c>
      <c r="CJ1" s="41" t="s">
        <v>259</v>
      </c>
      <c r="CK1" s="41" t="s">
        <v>260</v>
      </c>
      <c r="CL1" s="41" t="s">
        <v>261</v>
      </c>
      <c r="CM1" s="41" t="s">
        <v>262</v>
      </c>
      <c r="CN1" s="41" t="s">
        <v>263</v>
      </c>
      <c r="CO1" s="41" t="s">
        <v>264</v>
      </c>
      <c r="CP1" s="41" t="s">
        <v>265</v>
      </c>
      <c r="CQ1" s="41" t="s">
        <v>266</v>
      </c>
      <c r="CR1" s="41" t="s">
        <v>267</v>
      </c>
      <c r="CS1" s="41" t="s">
        <v>268</v>
      </c>
      <c r="CT1" s="41" t="s">
        <v>269</v>
      </c>
      <c r="CU1" s="41" t="s">
        <v>270</v>
      </c>
      <c r="CV1" s="41" t="s">
        <v>271</v>
      </c>
      <c r="CW1" s="41" t="s">
        <v>272</v>
      </c>
      <c r="CX1" s="41" t="s">
        <v>273</v>
      </c>
      <c r="CY1" s="41" t="s">
        <v>274</v>
      </c>
      <c r="CZ1" s="59" t="s">
        <v>7</v>
      </c>
      <c r="DA1" s="59" t="s">
        <v>9</v>
      </c>
      <c r="DB1" s="59" t="s">
        <v>275</v>
      </c>
      <c r="DC1" s="59" t="s">
        <v>276</v>
      </c>
      <c r="DD1" s="59" t="s">
        <v>277</v>
      </c>
      <c r="DE1" s="59" t="s">
        <v>278</v>
      </c>
      <c r="DF1" s="59" t="s">
        <v>17</v>
      </c>
      <c r="DG1" s="59" t="s">
        <v>18</v>
      </c>
      <c r="DH1" s="59" t="s">
        <v>97</v>
      </c>
      <c r="DI1" s="59" t="s">
        <v>16</v>
      </c>
    </row>
    <row r="2" spans="1:113" ht="15.65" customHeight="1">
      <c r="A2" s="42" t="s">
        <v>19</v>
      </c>
      <c r="B2" s="43">
        <v>2513200101</v>
      </c>
      <c r="C2" s="44" t="s">
        <v>279</v>
      </c>
      <c r="D2" s="45">
        <v>83.5</v>
      </c>
      <c r="E2" s="45">
        <v>92</v>
      </c>
      <c r="F2" s="45">
        <v>70</v>
      </c>
      <c r="G2" s="45">
        <v>77</v>
      </c>
      <c r="H2" s="45">
        <v>61.5</v>
      </c>
      <c r="I2" s="45">
        <v>79.5</v>
      </c>
      <c r="J2" s="45">
        <v>85.5</v>
      </c>
      <c r="K2" s="45">
        <v>94</v>
      </c>
      <c r="L2" s="48">
        <f t="shared" ref="L2:L47" si="0">SUM(D2:J2)/7</f>
        <v>78.428571428571402</v>
      </c>
      <c r="M2" s="44">
        <f t="shared" ref="M2:M47" si="1">RANK(L2,L:L,0)</f>
        <v>21</v>
      </c>
      <c r="N2" s="49">
        <v>12</v>
      </c>
      <c r="O2" s="44">
        <v>0</v>
      </c>
      <c r="P2" s="48">
        <f t="shared" ref="P2:P47" si="2">L2*0.7</f>
        <v>54.9</v>
      </c>
      <c r="Q2" s="44"/>
      <c r="R2" s="44">
        <f t="shared" ref="R2:R47" si="3">Q2*0.5</f>
        <v>0</v>
      </c>
      <c r="S2" s="44"/>
      <c r="T2" s="44"/>
      <c r="U2" s="44"/>
      <c r="V2" s="48">
        <f t="shared" ref="V2:V47" si="4">P2+S2+T2+U2-R2</f>
        <v>54.9</v>
      </c>
      <c r="W2" s="44">
        <f t="shared" ref="W2:W47" si="5">RANK(V2,V:V,0)</f>
        <v>21</v>
      </c>
      <c r="X2" s="53" t="s">
        <v>280</v>
      </c>
      <c r="Y2" s="54">
        <v>94</v>
      </c>
      <c r="Z2" s="53">
        <f t="shared" ref="Z2:Z47" si="6">(Y2-60)*0.05</f>
        <v>1.7</v>
      </c>
      <c r="AA2" s="55" t="s">
        <v>281</v>
      </c>
      <c r="AB2" s="55">
        <v>4</v>
      </c>
      <c r="AC2" s="55">
        <v>4</v>
      </c>
      <c r="AD2" s="55">
        <v>2</v>
      </c>
      <c r="AE2" s="55"/>
      <c r="AF2" s="55"/>
      <c r="AG2" s="55">
        <v>10</v>
      </c>
      <c r="AH2" s="56" t="s">
        <v>282</v>
      </c>
      <c r="AI2" s="56">
        <v>1</v>
      </c>
      <c r="AJ2" s="56" t="s">
        <v>283</v>
      </c>
      <c r="AK2" s="56">
        <v>2.5</v>
      </c>
      <c r="AL2" s="56"/>
      <c r="AM2" s="56"/>
      <c r="AN2" s="56"/>
      <c r="AO2" s="56"/>
      <c r="AP2" s="56"/>
      <c r="AQ2" s="56"/>
      <c r="AR2" s="56">
        <f t="shared" ref="AR2:AR47" si="7">SUM(AK2:AQ2)</f>
        <v>2.5</v>
      </c>
      <c r="AS2" s="56" t="s">
        <v>284</v>
      </c>
      <c r="AT2" s="56"/>
      <c r="AU2" s="56"/>
      <c r="AV2" s="56"/>
      <c r="AW2" s="56"/>
      <c r="AX2" s="56"/>
      <c r="AY2" s="56">
        <v>0.5</v>
      </c>
      <c r="AZ2" s="56">
        <f t="shared" ref="AZ2:AZ25" si="8">SUM(AT2:AY2)</f>
        <v>0.5</v>
      </c>
      <c r="BA2" s="56"/>
      <c r="BB2" s="56" t="s">
        <v>285</v>
      </c>
      <c r="BC2" s="56"/>
      <c r="BD2" s="56">
        <v>1.6</v>
      </c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>
        <v>0.8</v>
      </c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>
        <v>0.8</v>
      </c>
      <c r="CL2" s="56"/>
      <c r="CM2" s="56"/>
      <c r="CN2" s="56"/>
      <c r="CO2" s="56"/>
      <c r="CP2" s="56"/>
      <c r="CQ2" s="56"/>
      <c r="CR2" s="56">
        <v>0.2</v>
      </c>
      <c r="CS2" s="56"/>
      <c r="CT2" s="56"/>
      <c r="CU2" s="56"/>
      <c r="CV2" s="56">
        <f t="shared" ref="CV2:CV47" si="9">SUM(BC2:CU2)</f>
        <v>3.4</v>
      </c>
      <c r="CW2" s="56">
        <f t="shared" ref="CW2:CW47" si="10">IF(CV2&gt;=4,4,CV2)</f>
        <v>3.4</v>
      </c>
      <c r="CX2" s="56">
        <f t="shared" ref="CX2:CX47" si="11">CV2-CW2</f>
        <v>0</v>
      </c>
      <c r="CY2" s="56">
        <f t="shared" ref="CY2:CY47" si="12">CW2+AZ2+AR2+AI2</f>
        <v>7.4</v>
      </c>
      <c r="CZ2" s="60" t="s">
        <v>19</v>
      </c>
      <c r="DA2" s="60">
        <v>2513200101</v>
      </c>
      <c r="DB2" s="60">
        <v>10</v>
      </c>
      <c r="DC2" s="61">
        <f t="shared" ref="DC2:DC47" si="13">V2</f>
        <v>54.9</v>
      </c>
      <c r="DD2" s="60">
        <f t="shared" ref="DD2:DD47" si="14">Z2</f>
        <v>1.7</v>
      </c>
      <c r="DE2" s="60">
        <f t="shared" ref="DE2:DE47" si="15">CY2</f>
        <v>7.4</v>
      </c>
      <c r="DF2" s="60">
        <f t="shared" ref="DF2:DF47" si="16">SUM(DB2:DE2)</f>
        <v>74</v>
      </c>
      <c r="DG2" s="60">
        <f t="shared" ref="DG2:DG47" si="17">RANK(DF2,DF:DF,0)</f>
        <v>11</v>
      </c>
      <c r="DH2" s="61">
        <f t="shared" ref="DH2:DH47" si="18">L2*7</f>
        <v>549</v>
      </c>
      <c r="DI2" s="60">
        <f t="shared" ref="DI2:DI47" si="19">RANK(DH2,DH:DH,0)</f>
        <v>21</v>
      </c>
    </row>
    <row r="3" spans="1:113" ht="15.65" customHeight="1">
      <c r="A3" s="42" t="s">
        <v>21</v>
      </c>
      <c r="B3" s="43">
        <v>2513200103</v>
      </c>
      <c r="C3" s="44" t="s">
        <v>279</v>
      </c>
      <c r="D3" s="45">
        <v>74</v>
      </c>
      <c r="E3" s="45">
        <v>70</v>
      </c>
      <c r="F3" s="45">
        <v>66.5</v>
      </c>
      <c r="G3" s="45">
        <v>72</v>
      </c>
      <c r="H3" s="45">
        <v>64</v>
      </c>
      <c r="I3" s="45">
        <v>80.5</v>
      </c>
      <c r="J3" s="45">
        <v>74</v>
      </c>
      <c r="K3" s="45">
        <v>74.5</v>
      </c>
      <c r="L3" s="48">
        <f t="shared" si="0"/>
        <v>71.571428571428598</v>
      </c>
      <c r="M3" s="44">
        <f t="shared" si="1"/>
        <v>38</v>
      </c>
      <c r="N3" s="49">
        <v>34</v>
      </c>
      <c r="O3" s="44">
        <v>0</v>
      </c>
      <c r="P3" s="48">
        <f t="shared" si="2"/>
        <v>50.1</v>
      </c>
      <c r="Q3" s="44"/>
      <c r="R3" s="44">
        <f t="shared" si="3"/>
        <v>0</v>
      </c>
      <c r="S3" s="44"/>
      <c r="T3" s="44"/>
      <c r="U3" s="44"/>
      <c r="V3" s="48">
        <f t="shared" si="4"/>
        <v>50.1</v>
      </c>
      <c r="W3" s="44">
        <f t="shared" si="5"/>
        <v>38</v>
      </c>
      <c r="X3" s="53" t="s">
        <v>280</v>
      </c>
      <c r="Y3" s="54">
        <v>74.5</v>
      </c>
      <c r="Z3" s="53">
        <f t="shared" si="6"/>
        <v>0.72499999999999998</v>
      </c>
      <c r="AA3" s="55" t="s">
        <v>281</v>
      </c>
      <c r="AB3" s="55">
        <v>4</v>
      </c>
      <c r="AC3" s="55">
        <v>4</v>
      </c>
      <c r="AD3" s="55">
        <v>2</v>
      </c>
      <c r="AE3" s="55"/>
      <c r="AF3" s="55"/>
      <c r="AG3" s="55">
        <v>10</v>
      </c>
      <c r="AH3" s="56" t="s">
        <v>282</v>
      </c>
      <c r="AI3" s="56"/>
      <c r="AJ3" s="56" t="s">
        <v>283</v>
      </c>
      <c r="AK3" s="56"/>
      <c r="AL3" s="56"/>
      <c r="AM3" s="56"/>
      <c r="AN3" s="56"/>
      <c r="AO3" s="56"/>
      <c r="AP3" s="56"/>
      <c r="AQ3" s="56"/>
      <c r="AR3" s="56">
        <f t="shared" si="7"/>
        <v>0</v>
      </c>
      <c r="AS3" s="56" t="s">
        <v>284</v>
      </c>
      <c r="AT3" s="56">
        <v>3</v>
      </c>
      <c r="AU3" s="56"/>
      <c r="AV3" s="56"/>
      <c r="AW3" s="56"/>
      <c r="AX3" s="56"/>
      <c r="AY3" s="56"/>
      <c r="AZ3" s="56">
        <f t="shared" si="8"/>
        <v>3</v>
      </c>
      <c r="BA3" s="56"/>
      <c r="BB3" s="56" t="s">
        <v>285</v>
      </c>
      <c r="BC3" s="56">
        <v>0.5</v>
      </c>
      <c r="BD3" s="56"/>
      <c r="BE3" s="56">
        <v>0.8</v>
      </c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>
        <v>0.5</v>
      </c>
      <c r="BV3" s="56"/>
      <c r="BW3" s="56"/>
      <c r="BX3" s="56"/>
      <c r="BY3" s="56"/>
      <c r="BZ3" s="56"/>
      <c r="CA3" s="56">
        <v>0.5</v>
      </c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>
        <v>0.2</v>
      </c>
      <c r="CS3" s="56"/>
      <c r="CT3" s="56"/>
      <c r="CU3" s="56"/>
      <c r="CV3" s="56">
        <f t="shared" si="9"/>
        <v>2.5</v>
      </c>
      <c r="CW3" s="56">
        <f t="shared" si="10"/>
        <v>2.5</v>
      </c>
      <c r="CX3" s="56">
        <f t="shared" si="11"/>
        <v>0</v>
      </c>
      <c r="CY3" s="56">
        <f t="shared" si="12"/>
        <v>5.5</v>
      </c>
      <c r="CZ3" s="60" t="s">
        <v>21</v>
      </c>
      <c r="DA3" s="60">
        <v>2513200103</v>
      </c>
      <c r="DB3" s="60">
        <v>10</v>
      </c>
      <c r="DC3" s="61">
        <f t="shared" si="13"/>
        <v>50.1</v>
      </c>
      <c r="DD3" s="60">
        <f t="shared" si="14"/>
        <v>0.72499999999999998</v>
      </c>
      <c r="DE3" s="60">
        <f t="shared" si="15"/>
        <v>5.5</v>
      </c>
      <c r="DF3" s="60">
        <f t="shared" si="16"/>
        <v>66.325000000000003</v>
      </c>
      <c r="DG3" s="60">
        <f t="shared" si="17"/>
        <v>34</v>
      </c>
      <c r="DH3" s="61">
        <f t="shared" si="18"/>
        <v>501</v>
      </c>
      <c r="DI3" s="60">
        <f t="shared" si="19"/>
        <v>38</v>
      </c>
    </row>
    <row r="4" spans="1:113" ht="15.65" customHeight="1">
      <c r="A4" s="42" t="s">
        <v>22</v>
      </c>
      <c r="B4" s="43">
        <v>2513200104</v>
      </c>
      <c r="C4" s="44" t="s">
        <v>279</v>
      </c>
      <c r="D4" s="45">
        <v>71.5</v>
      </c>
      <c r="E4" s="45">
        <v>63.5</v>
      </c>
      <c r="F4" s="45">
        <v>68.5</v>
      </c>
      <c r="G4" s="45">
        <v>67</v>
      </c>
      <c r="H4" s="45">
        <v>68</v>
      </c>
      <c r="I4" s="45">
        <v>80</v>
      </c>
      <c r="J4" s="45">
        <v>76</v>
      </c>
      <c r="K4" s="45">
        <v>78</v>
      </c>
      <c r="L4" s="48">
        <f t="shared" si="0"/>
        <v>70.642857142857096</v>
      </c>
      <c r="M4" s="44">
        <f t="shared" si="1"/>
        <v>43</v>
      </c>
      <c r="N4" s="49">
        <v>41</v>
      </c>
      <c r="O4" s="44">
        <v>0</v>
      </c>
      <c r="P4" s="48">
        <f t="shared" si="2"/>
        <v>49.45</v>
      </c>
      <c r="Q4" s="44"/>
      <c r="R4" s="44">
        <f t="shared" si="3"/>
        <v>0</v>
      </c>
      <c r="S4" s="44"/>
      <c r="T4" s="44"/>
      <c r="U4" s="44"/>
      <c r="V4" s="48">
        <f t="shared" si="4"/>
        <v>49.45</v>
      </c>
      <c r="W4" s="44">
        <f t="shared" si="5"/>
        <v>41</v>
      </c>
      <c r="X4" s="53" t="s">
        <v>280</v>
      </c>
      <c r="Y4" s="54">
        <v>78</v>
      </c>
      <c r="Z4" s="53">
        <f t="shared" si="6"/>
        <v>0.9</v>
      </c>
      <c r="AA4" s="55" t="s">
        <v>281</v>
      </c>
      <c r="AB4" s="55">
        <v>4</v>
      </c>
      <c r="AC4" s="55">
        <v>4</v>
      </c>
      <c r="AD4" s="55"/>
      <c r="AE4" s="55"/>
      <c r="AF4" s="55"/>
      <c r="AG4" s="55">
        <v>8</v>
      </c>
      <c r="AH4" s="56" t="s">
        <v>282</v>
      </c>
      <c r="AI4" s="56"/>
      <c r="AJ4" s="56" t="s">
        <v>283</v>
      </c>
      <c r="AK4" s="56"/>
      <c r="AL4" s="56"/>
      <c r="AM4" s="56"/>
      <c r="AN4" s="56"/>
      <c r="AO4" s="56"/>
      <c r="AP4" s="56"/>
      <c r="AQ4" s="56"/>
      <c r="AR4" s="56">
        <f t="shared" si="7"/>
        <v>0</v>
      </c>
      <c r="AS4" s="56" t="s">
        <v>284</v>
      </c>
      <c r="AT4" s="56"/>
      <c r="AU4" s="56"/>
      <c r="AV4" s="56"/>
      <c r="AW4" s="56"/>
      <c r="AX4" s="56"/>
      <c r="AY4" s="56"/>
      <c r="AZ4" s="56">
        <f t="shared" si="8"/>
        <v>0</v>
      </c>
      <c r="BA4" s="56"/>
      <c r="BB4" s="56" t="s">
        <v>285</v>
      </c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>
        <v>0.2</v>
      </c>
      <c r="CS4" s="56"/>
      <c r="CT4" s="56"/>
      <c r="CU4" s="56"/>
      <c r="CV4" s="56">
        <f t="shared" si="9"/>
        <v>0.2</v>
      </c>
      <c r="CW4" s="56">
        <f t="shared" si="10"/>
        <v>0.2</v>
      </c>
      <c r="CX4" s="56">
        <f t="shared" si="11"/>
        <v>0</v>
      </c>
      <c r="CY4" s="56">
        <f t="shared" si="12"/>
        <v>0.2</v>
      </c>
      <c r="CZ4" s="60" t="s">
        <v>22</v>
      </c>
      <c r="DA4" s="60">
        <v>2513200104</v>
      </c>
      <c r="DB4" s="60">
        <v>8</v>
      </c>
      <c r="DC4" s="61">
        <f t="shared" si="13"/>
        <v>49.45</v>
      </c>
      <c r="DD4" s="60">
        <f t="shared" si="14"/>
        <v>0.9</v>
      </c>
      <c r="DE4" s="60">
        <f t="shared" si="15"/>
        <v>0.2</v>
      </c>
      <c r="DF4" s="60">
        <f t="shared" si="16"/>
        <v>58.55</v>
      </c>
      <c r="DG4" s="60">
        <f t="shared" si="17"/>
        <v>46</v>
      </c>
      <c r="DH4" s="61">
        <f t="shared" si="18"/>
        <v>494.5</v>
      </c>
      <c r="DI4" s="60">
        <f t="shared" si="19"/>
        <v>43</v>
      </c>
    </row>
    <row r="5" spans="1:113" ht="15.65" customHeight="1">
      <c r="A5" s="42" t="s">
        <v>23</v>
      </c>
      <c r="B5" s="43">
        <v>2513200105</v>
      </c>
      <c r="C5" s="44" t="s">
        <v>279</v>
      </c>
      <c r="D5" s="45">
        <v>76</v>
      </c>
      <c r="E5" s="45">
        <v>83</v>
      </c>
      <c r="F5" s="45">
        <v>71.5</v>
      </c>
      <c r="G5" s="45">
        <v>85.5</v>
      </c>
      <c r="H5" s="45">
        <v>81</v>
      </c>
      <c r="I5" s="45">
        <v>83.5</v>
      </c>
      <c r="J5" s="45">
        <v>78.5</v>
      </c>
      <c r="K5" s="45">
        <v>83.5</v>
      </c>
      <c r="L5" s="48">
        <f t="shared" si="0"/>
        <v>79.857142857142904</v>
      </c>
      <c r="M5" s="44">
        <f t="shared" si="1"/>
        <v>16</v>
      </c>
      <c r="N5" s="49">
        <v>15</v>
      </c>
      <c r="O5" s="44">
        <v>0</v>
      </c>
      <c r="P5" s="48">
        <f t="shared" si="2"/>
        <v>55.9</v>
      </c>
      <c r="Q5" s="44"/>
      <c r="R5" s="44">
        <f t="shared" si="3"/>
        <v>0</v>
      </c>
      <c r="S5" s="44"/>
      <c r="T5" s="44"/>
      <c r="U5" s="44"/>
      <c r="V5" s="48">
        <f t="shared" si="4"/>
        <v>55.9</v>
      </c>
      <c r="W5" s="44">
        <f t="shared" si="5"/>
        <v>17</v>
      </c>
      <c r="X5" s="53" t="s">
        <v>280</v>
      </c>
      <c r="Y5" s="54">
        <v>83.5</v>
      </c>
      <c r="Z5" s="53">
        <f t="shared" si="6"/>
        <v>1.175</v>
      </c>
      <c r="AA5" s="55" t="s">
        <v>281</v>
      </c>
      <c r="AB5" s="55">
        <v>4</v>
      </c>
      <c r="AC5" s="55">
        <v>4</v>
      </c>
      <c r="AD5" s="55">
        <v>2</v>
      </c>
      <c r="AE5" s="55"/>
      <c r="AF5" s="55"/>
      <c r="AG5" s="55">
        <v>10</v>
      </c>
      <c r="AH5" s="56" t="s">
        <v>282</v>
      </c>
      <c r="AI5" s="56"/>
      <c r="AJ5" s="56" t="s">
        <v>283</v>
      </c>
      <c r="AK5" s="56"/>
      <c r="AL5" s="56"/>
      <c r="AM5" s="56"/>
      <c r="AN5" s="56"/>
      <c r="AO5" s="56"/>
      <c r="AP5" s="56">
        <v>0.5</v>
      </c>
      <c r="AQ5" s="56"/>
      <c r="AR5" s="56">
        <f t="shared" si="7"/>
        <v>0.5</v>
      </c>
      <c r="AS5" s="56" t="s">
        <v>284</v>
      </c>
      <c r="AT5" s="56"/>
      <c r="AU5" s="56"/>
      <c r="AV5" s="56"/>
      <c r="AW5" s="56"/>
      <c r="AX5" s="56"/>
      <c r="AY5" s="56"/>
      <c r="AZ5" s="56">
        <f t="shared" si="8"/>
        <v>0</v>
      </c>
      <c r="BA5" s="56"/>
      <c r="BB5" s="56" t="s">
        <v>285</v>
      </c>
      <c r="BC5" s="56"/>
      <c r="BD5" s="56"/>
      <c r="BE5" s="56">
        <v>1</v>
      </c>
      <c r="BF5" s="56"/>
      <c r="BG5" s="56"/>
      <c r="BH5" s="56"/>
      <c r="BI5" s="56">
        <v>0.3</v>
      </c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>
        <v>1</v>
      </c>
      <c r="BU5" s="56"/>
      <c r="BV5" s="56"/>
      <c r="BW5" s="56"/>
      <c r="BX5" s="56"/>
      <c r="BY5" s="56"/>
      <c r="BZ5" s="56"/>
      <c r="CA5" s="56"/>
      <c r="CB5" s="56">
        <v>0.3</v>
      </c>
      <c r="CC5" s="56"/>
      <c r="CD5" s="56"/>
      <c r="CE5" s="56"/>
      <c r="CF5" s="56">
        <v>1</v>
      </c>
      <c r="CG5" s="56"/>
      <c r="CH5" s="56"/>
      <c r="CI5" s="56">
        <v>0.3</v>
      </c>
      <c r="CJ5" s="56">
        <v>0.5</v>
      </c>
      <c r="CK5" s="56"/>
      <c r="CL5" s="56"/>
      <c r="CM5" s="56"/>
      <c r="CN5" s="56"/>
      <c r="CO5" s="56"/>
      <c r="CP5" s="56"/>
      <c r="CQ5" s="56"/>
      <c r="CR5" s="56">
        <v>0.2</v>
      </c>
      <c r="CS5" s="56"/>
      <c r="CT5" s="56"/>
      <c r="CU5" s="56"/>
      <c r="CV5" s="56">
        <f t="shared" si="9"/>
        <v>4.5999999999999996</v>
      </c>
      <c r="CW5" s="56">
        <f t="shared" si="10"/>
        <v>4</v>
      </c>
      <c r="CX5" s="56">
        <f t="shared" si="11"/>
        <v>0.6</v>
      </c>
      <c r="CY5" s="56">
        <f t="shared" si="12"/>
        <v>4.5</v>
      </c>
      <c r="CZ5" s="60" t="s">
        <v>23</v>
      </c>
      <c r="DA5" s="60">
        <v>2513200105</v>
      </c>
      <c r="DB5" s="60">
        <v>10</v>
      </c>
      <c r="DC5" s="61">
        <f t="shared" si="13"/>
        <v>55.9</v>
      </c>
      <c r="DD5" s="60">
        <f t="shared" si="14"/>
        <v>1.175</v>
      </c>
      <c r="DE5" s="60">
        <f t="shared" si="15"/>
        <v>4.5</v>
      </c>
      <c r="DF5" s="60">
        <f t="shared" si="16"/>
        <v>71.575000000000003</v>
      </c>
      <c r="DG5" s="60">
        <f t="shared" si="17"/>
        <v>18</v>
      </c>
      <c r="DH5" s="61">
        <f t="shared" si="18"/>
        <v>559</v>
      </c>
      <c r="DI5" s="60">
        <f t="shared" si="19"/>
        <v>16</v>
      </c>
    </row>
    <row r="6" spans="1:113" ht="15.65" customHeight="1">
      <c r="A6" s="42" t="s">
        <v>24</v>
      </c>
      <c r="B6" s="43">
        <v>2513200106</v>
      </c>
      <c r="C6" s="44" t="s">
        <v>279</v>
      </c>
      <c r="D6" s="45">
        <v>76</v>
      </c>
      <c r="E6" s="45">
        <v>84</v>
      </c>
      <c r="F6" s="45">
        <v>75.5</v>
      </c>
      <c r="G6" s="45">
        <v>87</v>
      </c>
      <c r="H6" s="45">
        <v>74.5</v>
      </c>
      <c r="I6" s="45">
        <v>84</v>
      </c>
      <c r="J6" s="45">
        <v>75.5</v>
      </c>
      <c r="K6" s="45">
        <v>85</v>
      </c>
      <c r="L6" s="48">
        <f t="shared" si="0"/>
        <v>79.5</v>
      </c>
      <c r="M6" s="44">
        <f t="shared" si="1"/>
        <v>18</v>
      </c>
      <c r="N6" s="49">
        <v>14</v>
      </c>
      <c r="O6" s="44">
        <v>0</v>
      </c>
      <c r="P6" s="48">
        <f t="shared" si="2"/>
        <v>55.65</v>
      </c>
      <c r="Q6" s="44"/>
      <c r="R6" s="44">
        <f t="shared" si="3"/>
        <v>0</v>
      </c>
      <c r="S6" s="44"/>
      <c r="T6" s="44"/>
      <c r="U6" s="44"/>
      <c r="V6" s="48">
        <f t="shared" si="4"/>
        <v>55.65</v>
      </c>
      <c r="W6" s="44">
        <f t="shared" si="5"/>
        <v>19</v>
      </c>
      <c r="X6" s="53" t="s">
        <v>280</v>
      </c>
      <c r="Y6" s="54">
        <v>85</v>
      </c>
      <c r="Z6" s="53">
        <f t="shared" si="6"/>
        <v>1.25</v>
      </c>
      <c r="AA6" s="55" t="s">
        <v>281</v>
      </c>
      <c r="AB6" s="55">
        <v>4</v>
      </c>
      <c r="AC6" s="55">
        <v>4</v>
      </c>
      <c r="AD6" s="55">
        <v>2</v>
      </c>
      <c r="AE6" s="55"/>
      <c r="AF6" s="55"/>
      <c r="AG6" s="55">
        <v>10</v>
      </c>
      <c r="AH6" s="56" t="s">
        <v>282</v>
      </c>
      <c r="AI6" s="56"/>
      <c r="AJ6" s="56" t="s">
        <v>283</v>
      </c>
      <c r="AK6" s="56"/>
      <c r="AL6" s="56"/>
      <c r="AM6" s="56"/>
      <c r="AN6" s="56"/>
      <c r="AO6" s="56"/>
      <c r="AP6" s="56">
        <v>0.5</v>
      </c>
      <c r="AQ6" s="56"/>
      <c r="AR6" s="56">
        <f t="shared" si="7"/>
        <v>0.5</v>
      </c>
      <c r="AS6" s="56" t="s">
        <v>284</v>
      </c>
      <c r="AT6" s="56"/>
      <c r="AU6" s="56"/>
      <c r="AV6" s="56"/>
      <c r="AW6" s="56"/>
      <c r="AX6" s="56"/>
      <c r="AY6" s="56">
        <v>0.5</v>
      </c>
      <c r="AZ6" s="56">
        <f t="shared" si="8"/>
        <v>0.5</v>
      </c>
      <c r="BA6" s="56"/>
      <c r="BB6" s="56" t="s">
        <v>285</v>
      </c>
      <c r="BC6" s="56"/>
      <c r="BD6" s="56"/>
      <c r="BE6" s="56">
        <v>1</v>
      </c>
      <c r="BF6" s="56"/>
      <c r="BG6" s="56"/>
      <c r="BH6" s="56">
        <v>0.3</v>
      </c>
      <c r="BI6" s="56"/>
      <c r="BJ6" s="56"/>
      <c r="BK6" s="56"/>
      <c r="BL6" s="56"/>
      <c r="BM6" s="56">
        <v>0.3</v>
      </c>
      <c r="BN6" s="56"/>
      <c r="BO6" s="56"/>
      <c r="BP6" s="56"/>
      <c r="BQ6" s="56">
        <v>0.8</v>
      </c>
      <c r="BR6" s="56"/>
      <c r="BS6" s="56"/>
      <c r="BT6" s="56"/>
      <c r="BU6" s="56"/>
      <c r="BV6" s="56"/>
      <c r="BW6" s="56"/>
      <c r="BX6" s="56"/>
      <c r="BY6" s="56">
        <v>1</v>
      </c>
      <c r="BZ6" s="56"/>
      <c r="CA6" s="56">
        <v>0.5</v>
      </c>
      <c r="CB6" s="56">
        <v>0.3</v>
      </c>
      <c r="CC6" s="56"/>
      <c r="CD6" s="56"/>
      <c r="CE6" s="56">
        <v>0.5</v>
      </c>
      <c r="CF6" s="56"/>
      <c r="CG6" s="56"/>
      <c r="CH6" s="56"/>
      <c r="CI6" s="56">
        <v>0.3</v>
      </c>
      <c r="CJ6" s="56"/>
      <c r="CK6" s="56"/>
      <c r="CL6" s="56"/>
      <c r="CM6" s="56"/>
      <c r="CN6" s="56"/>
      <c r="CO6" s="56"/>
      <c r="CP6" s="56"/>
      <c r="CQ6" s="56"/>
      <c r="CR6" s="56">
        <v>0.3</v>
      </c>
      <c r="CS6" s="56"/>
      <c r="CT6" s="56"/>
      <c r="CU6" s="56"/>
      <c r="CV6" s="56">
        <f t="shared" si="9"/>
        <v>5.3</v>
      </c>
      <c r="CW6" s="56">
        <f t="shared" si="10"/>
        <v>4</v>
      </c>
      <c r="CX6" s="56">
        <f t="shared" si="11"/>
        <v>1.3</v>
      </c>
      <c r="CY6" s="56">
        <f t="shared" si="12"/>
        <v>5</v>
      </c>
      <c r="CZ6" s="60" t="s">
        <v>24</v>
      </c>
      <c r="DA6" s="60">
        <v>2513200106</v>
      </c>
      <c r="DB6" s="60">
        <v>10</v>
      </c>
      <c r="DC6" s="61">
        <f t="shared" si="13"/>
        <v>55.65</v>
      </c>
      <c r="DD6" s="60">
        <f t="shared" si="14"/>
        <v>1.25</v>
      </c>
      <c r="DE6" s="60">
        <f t="shared" si="15"/>
        <v>5</v>
      </c>
      <c r="DF6" s="60">
        <f t="shared" si="16"/>
        <v>71.900000000000006</v>
      </c>
      <c r="DG6" s="60">
        <f t="shared" si="17"/>
        <v>16</v>
      </c>
      <c r="DH6" s="61">
        <f t="shared" si="18"/>
        <v>556.5</v>
      </c>
      <c r="DI6" s="60">
        <f t="shared" si="19"/>
        <v>18</v>
      </c>
    </row>
    <row r="7" spans="1:113" ht="15.65" customHeight="1">
      <c r="A7" s="42" t="s">
        <v>25</v>
      </c>
      <c r="B7" s="43">
        <v>2513200107</v>
      </c>
      <c r="C7" s="44" t="s">
        <v>279</v>
      </c>
      <c r="D7" s="45">
        <v>79</v>
      </c>
      <c r="E7" s="45">
        <v>75.5</v>
      </c>
      <c r="F7" s="45">
        <v>71</v>
      </c>
      <c r="G7" s="45">
        <v>75.5</v>
      </c>
      <c r="H7" s="45">
        <v>72</v>
      </c>
      <c r="I7" s="45">
        <v>77</v>
      </c>
      <c r="J7" s="45">
        <v>85.5</v>
      </c>
      <c r="K7" s="45">
        <v>86.5</v>
      </c>
      <c r="L7" s="48">
        <f t="shared" si="0"/>
        <v>76.5</v>
      </c>
      <c r="M7" s="44">
        <f t="shared" si="1"/>
        <v>28</v>
      </c>
      <c r="N7" s="49">
        <v>35</v>
      </c>
      <c r="O7" s="44">
        <f>N7-M7</f>
        <v>7</v>
      </c>
      <c r="P7" s="48">
        <f t="shared" si="2"/>
        <v>53.55</v>
      </c>
      <c r="Q7" s="44"/>
      <c r="R7" s="44">
        <f t="shared" si="3"/>
        <v>0</v>
      </c>
      <c r="S7" s="44"/>
      <c r="T7" s="44"/>
      <c r="U7" s="44"/>
      <c r="V7" s="48">
        <f t="shared" si="4"/>
        <v>53.55</v>
      </c>
      <c r="W7" s="44">
        <f t="shared" si="5"/>
        <v>28</v>
      </c>
      <c r="X7" s="53" t="s">
        <v>280</v>
      </c>
      <c r="Y7" s="54">
        <v>86.5</v>
      </c>
      <c r="Z7" s="53">
        <f t="shared" si="6"/>
        <v>1.325</v>
      </c>
      <c r="AA7" s="55" t="s">
        <v>281</v>
      </c>
      <c r="AB7" s="55">
        <v>4</v>
      </c>
      <c r="AC7" s="55">
        <v>4</v>
      </c>
      <c r="AD7" s="55">
        <v>2</v>
      </c>
      <c r="AE7" s="55"/>
      <c r="AF7" s="55"/>
      <c r="AG7" s="55">
        <v>10</v>
      </c>
      <c r="AH7" s="56" t="s">
        <v>282</v>
      </c>
      <c r="AI7" s="56"/>
      <c r="AJ7" s="56" t="s">
        <v>283</v>
      </c>
      <c r="AK7" s="56"/>
      <c r="AL7" s="56"/>
      <c r="AM7" s="56"/>
      <c r="AN7" s="56"/>
      <c r="AO7" s="56"/>
      <c r="AP7" s="56">
        <v>0.5</v>
      </c>
      <c r="AQ7" s="56"/>
      <c r="AR7" s="56">
        <f t="shared" si="7"/>
        <v>0.5</v>
      </c>
      <c r="AS7" s="56" t="s">
        <v>284</v>
      </c>
      <c r="AT7" s="56"/>
      <c r="AU7" s="56"/>
      <c r="AV7" s="56"/>
      <c r="AW7" s="56"/>
      <c r="AX7" s="56"/>
      <c r="AY7" s="56"/>
      <c r="AZ7" s="56">
        <f t="shared" si="8"/>
        <v>0</v>
      </c>
      <c r="BA7" s="56"/>
      <c r="BB7" s="56" t="s">
        <v>285</v>
      </c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>
        <v>0.3</v>
      </c>
      <c r="BQ7" s="56"/>
      <c r="BR7" s="56"/>
      <c r="BS7" s="56"/>
      <c r="BT7" s="56">
        <v>1</v>
      </c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>
        <v>0.2</v>
      </c>
      <c r="CS7" s="56"/>
      <c r="CT7" s="56"/>
      <c r="CU7" s="56"/>
      <c r="CV7" s="56">
        <f t="shared" si="9"/>
        <v>1.5</v>
      </c>
      <c r="CW7" s="56">
        <f t="shared" si="10"/>
        <v>1.5</v>
      </c>
      <c r="CX7" s="56">
        <f t="shared" si="11"/>
        <v>0</v>
      </c>
      <c r="CY7" s="56">
        <f t="shared" si="12"/>
        <v>2</v>
      </c>
      <c r="CZ7" s="60" t="s">
        <v>25</v>
      </c>
      <c r="DA7" s="60">
        <v>2513200107</v>
      </c>
      <c r="DB7" s="60">
        <v>10</v>
      </c>
      <c r="DC7" s="61">
        <f t="shared" si="13"/>
        <v>53.55</v>
      </c>
      <c r="DD7" s="60">
        <f t="shared" si="14"/>
        <v>1.325</v>
      </c>
      <c r="DE7" s="60">
        <f t="shared" si="15"/>
        <v>2</v>
      </c>
      <c r="DF7" s="60">
        <f t="shared" si="16"/>
        <v>66.875</v>
      </c>
      <c r="DG7" s="60">
        <f t="shared" si="17"/>
        <v>30</v>
      </c>
      <c r="DH7" s="61">
        <f t="shared" si="18"/>
        <v>535.5</v>
      </c>
      <c r="DI7" s="60">
        <f t="shared" si="19"/>
        <v>28</v>
      </c>
    </row>
    <row r="8" spans="1:113" ht="15.65" customHeight="1">
      <c r="A8" s="42" t="s">
        <v>26</v>
      </c>
      <c r="B8" s="43">
        <v>2513200108</v>
      </c>
      <c r="C8" s="44" t="s">
        <v>279</v>
      </c>
      <c r="D8" s="45">
        <v>86</v>
      </c>
      <c r="E8" s="45">
        <v>77</v>
      </c>
      <c r="F8" s="45">
        <v>75</v>
      </c>
      <c r="G8" s="45">
        <v>79.5</v>
      </c>
      <c r="H8" s="45">
        <v>75.5</v>
      </c>
      <c r="I8" s="45">
        <v>82</v>
      </c>
      <c r="J8" s="45">
        <v>83.5</v>
      </c>
      <c r="K8" s="45">
        <v>82.5</v>
      </c>
      <c r="L8" s="48">
        <f t="shared" si="0"/>
        <v>79.785714285714306</v>
      </c>
      <c r="M8" s="44">
        <f t="shared" si="1"/>
        <v>17</v>
      </c>
      <c r="N8" s="49">
        <v>10</v>
      </c>
      <c r="O8" s="44">
        <v>0</v>
      </c>
      <c r="P8" s="48">
        <f t="shared" si="2"/>
        <v>55.85</v>
      </c>
      <c r="Q8" s="44"/>
      <c r="R8" s="44">
        <f t="shared" si="3"/>
        <v>0</v>
      </c>
      <c r="S8" s="44"/>
      <c r="T8" s="44"/>
      <c r="U8" s="44"/>
      <c r="V8" s="48">
        <f t="shared" si="4"/>
        <v>55.85</v>
      </c>
      <c r="W8" s="44">
        <f t="shared" si="5"/>
        <v>18</v>
      </c>
      <c r="X8" s="53" t="s">
        <v>280</v>
      </c>
      <c r="Y8" s="54">
        <v>82.5</v>
      </c>
      <c r="Z8" s="53">
        <f t="shared" si="6"/>
        <v>1.125</v>
      </c>
      <c r="AA8" s="55" t="s">
        <v>281</v>
      </c>
      <c r="AB8" s="55">
        <v>4</v>
      </c>
      <c r="AC8" s="55">
        <v>4</v>
      </c>
      <c r="AD8" s="55">
        <v>2</v>
      </c>
      <c r="AE8" s="55"/>
      <c r="AF8" s="55"/>
      <c r="AG8" s="55">
        <v>10</v>
      </c>
      <c r="AH8" s="56" t="s">
        <v>282</v>
      </c>
      <c r="AI8" s="56"/>
      <c r="AJ8" s="56" t="s">
        <v>283</v>
      </c>
      <c r="AK8" s="56"/>
      <c r="AL8" s="56"/>
      <c r="AM8" s="56"/>
      <c r="AN8" s="56"/>
      <c r="AO8" s="56"/>
      <c r="AP8" s="56">
        <v>0.5</v>
      </c>
      <c r="AQ8" s="56"/>
      <c r="AR8" s="56">
        <f t="shared" si="7"/>
        <v>0.5</v>
      </c>
      <c r="AS8" s="56" t="s">
        <v>284</v>
      </c>
      <c r="AT8" s="56"/>
      <c r="AU8" s="56"/>
      <c r="AV8" s="56"/>
      <c r="AW8" s="56"/>
      <c r="AX8" s="56"/>
      <c r="AY8" s="56">
        <v>0.5</v>
      </c>
      <c r="AZ8" s="56">
        <f t="shared" si="8"/>
        <v>0.5</v>
      </c>
      <c r="BA8" s="56"/>
      <c r="BB8" s="56" t="s">
        <v>285</v>
      </c>
      <c r="BC8" s="56"/>
      <c r="BD8" s="56"/>
      <c r="BE8" s="56">
        <v>1</v>
      </c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>
        <v>0.2</v>
      </c>
      <c r="CS8" s="56"/>
      <c r="CT8" s="56"/>
      <c r="CU8" s="56"/>
      <c r="CV8" s="56">
        <f t="shared" si="9"/>
        <v>1.2</v>
      </c>
      <c r="CW8" s="56">
        <f t="shared" si="10"/>
        <v>1.2</v>
      </c>
      <c r="CX8" s="56">
        <f t="shared" si="11"/>
        <v>0</v>
      </c>
      <c r="CY8" s="56">
        <f t="shared" si="12"/>
        <v>2.2000000000000002</v>
      </c>
      <c r="CZ8" s="60" t="s">
        <v>26</v>
      </c>
      <c r="DA8" s="60">
        <v>2513200108</v>
      </c>
      <c r="DB8" s="60">
        <v>10</v>
      </c>
      <c r="DC8" s="61">
        <f t="shared" si="13"/>
        <v>55.85</v>
      </c>
      <c r="DD8" s="60">
        <f t="shared" si="14"/>
        <v>1.125</v>
      </c>
      <c r="DE8" s="60">
        <f t="shared" si="15"/>
        <v>2.2000000000000002</v>
      </c>
      <c r="DF8" s="60">
        <f t="shared" si="16"/>
        <v>69.174999999999997</v>
      </c>
      <c r="DG8" s="60">
        <f t="shared" si="17"/>
        <v>25</v>
      </c>
      <c r="DH8" s="61">
        <f t="shared" si="18"/>
        <v>558.5</v>
      </c>
      <c r="DI8" s="60">
        <f t="shared" si="19"/>
        <v>17</v>
      </c>
    </row>
    <row r="9" spans="1:113" ht="15.65" customHeight="1">
      <c r="A9" s="42" t="s">
        <v>27</v>
      </c>
      <c r="B9" s="43">
        <v>2513200109</v>
      </c>
      <c r="C9" s="44" t="s">
        <v>279</v>
      </c>
      <c r="D9" s="45">
        <v>77.5</v>
      </c>
      <c r="E9" s="45">
        <v>80.5</v>
      </c>
      <c r="F9" s="45">
        <v>51.5</v>
      </c>
      <c r="G9" s="45">
        <v>71</v>
      </c>
      <c r="H9" s="45">
        <v>69.5</v>
      </c>
      <c r="I9" s="45">
        <v>81</v>
      </c>
      <c r="J9" s="45">
        <v>79.5</v>
      </c>
      <c r="K9" s="45">
        <v>75.5</v>
      </c>
      <c r="L9" s="48">
        <f t="shared" si="0"/>
        <v>72.928571428571402</v>
      </c>
      <c r="M9" s="44">
        <f t="shared" si="1"/>
        <v>34</v>
      </c>
      <c r="N9" s="49">
        <v>42</v>
      </c>
      <c r="O9" s="44">
        <f>N9-M9</f>
        <v>8</v>
      </c>
      <c r="P9" s="48">
        <f t="shared" si="2"/>
        <v>51.05</v>
      </c>
      <c r="Q9" s="44">
        <v>1</v>
      </c>
      <c r="R9" s="44">
        <f t="shared" si="3"/>
        <v>0.5</v>
      </c>
      <c r="S9" s="44"/>
      <c r="T9" s="44"/>
      <c r="U9" s="44"/>
      <c r="V9" s="48">
        <f t="shared" si="4"/>
        <v>50.55</v>
      </c>
      <c r="W9" s="44">
        <f t="shared" si="5"/>
        <v>36</v>
      </c>
      <c r="X9" s="53" t="s">
        <v>280</v>
      </c>
      <c r="Y9" s="54">
        <v>75.5</v>
      </c>
      <c r="Z9" s="53">
        <f t="shared" si="6"/>
        <v>0.77500000000000002</v>
      </c>
      <c r="AA9" s="55" t="s">
        <v>281</v>
      </c>
      <c r="AB9" s="55">
        <v>4</v>
      </c>
      <c r="AC9" s="55">
        <v>4</v>
      </c>
      <c r="AD9" s="55">
        <v>2</v>
      </c>
      <c r="AE9" s="55"/>
      <c r="AF9" s="55"/>
      <c r="AG9" s="55">
        <v>10</v>
      </c>
      <c r="AH9" s="56" t="s">
        <v>282</v>
      </c>
      <c r="AI9" s="56">
        <v>1</v>
      </c>
      <c r="AJ9" s="56" t="s">
        <v>283</v>
      </c>
      <c r="AK9" s="56"/>
      <c r="AL9" s="56"/>
      <c r="AM9" s="56"/>
      <c r="AN9" s="56"/>
      <c r="AO9" s="56"/>
      <c r="AP9" s="56">
        <v>0.5</v>
      </c>
      <c r="AQ9" s="56"/>
      <c r="AR9" s="56">
        <f t="shared" si="7"/>
        <v>0.5</v>
      </c>
      <c r="AS9" s="56" t="s">
        <v>284</v>
      </c>
      <c r="AT9" s="56"/>
      <c r="AU9" s="56"/>
      <c r="AV9" s="56"/>
      <c r="AW9" s="56"/>
      <c r="AX9" s="56"/>
      <c r="AY9" s="56"/>
      <c r="AZ9" s="56">
        <f t="shared" si="8"/>
        <v>0</v>
      </c>
      <c r="BA9" s="56"/>
      <c r="BB9" s="56" t="s">
        <v>285</v>
      </c>
      <c r="BC9" s="56">
        <v>0.5</v>
      </c>
      <c r="BD9" s="56">
        <v>1</v>
      </c>
      <c r="BE9" s="56"/>
      <c r="BF9" s="56"/>
      <c r="BG9" s="56"/>
      <c r="BH9" s="56"/>
      <c r="BI9" s="56"/>
      <c r="BJ9" s="56">
        <v>0.5</v>
      </c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>
        <v>1</v>
      </c>
      <c r="BZ9" s="56"/>
      <c r="CA9" s="56">
        <v>0.5</v>
      </c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>
        <v>0.3</v>
      </c>
      <c r="CO9" s="56"/>
      <c r="CP9" s="56"/>
      <c r="CQ9" s="56"/>
      <c r="CR9" s="56">
        <v>0.2</v>
      </c>
      <c r="CS9" s="56"/>
      <c r="CT9" s="56"/>
      <c r="CU9" s="56"/>
      <c r="CV9" s="56">
        <f t="shared" si="9"/>
        <v>4</v>
      </c>
      <c r="CW9" s="56">
        <f t="shared" si="10"/>
        <v>4</v>
      </c>
      <c r="CX9" s="56">
        <f t="shared" si="11"/>
        <v>0</v>
      </c>
      <c r="CY9" s="56">
        <f t="shared" si="12"/>
        <v>5.5</v>
      </c>
      <c r="CZ9" s="60" t="s">
        <v>27</v>
      </c>
      <c r="DA9" s="60">
        <v>2513200109</v>
      </c>
      <c r="DB9" s="60">
        <v>10</v>
      </c>
      <c r="DC9" s="61">
        <f t="shared" si="13"/>
        <v>50.55</v>
      </c>
      <c r="DD9" s="60">
        <f t="shared" si="14"/>
        <v>0.77500000000000002</v>
      </c>
      <c r="DE9" s="60">
        <f t="shared" si="15"/>
        <v>5.5</v>
      </c>
      <c r="DF9" s="60">
        <f t="shared" si="16"/>
        <v>66.825000000000003</v>
      </c>
      <c r="DG9" s="60">
        <f t="shared" si="17"/>
        <v>31</v>
      </c>
      <c r="DH9" s="61">
        <f t="shared" si="18"/>
        <v>510.5</v>
      </c>
      <c r="DI9" s="60">
        <f t="shared" si="19"/>
        <v>34</v>
      </c>
    </row>
    <row r="10" spans="1:113" ht="15.65" customHeight="1">
      <c r="A10" s="42" t="s">
        <v>28</v>
      </c>
      <c r="B10" s="43">
        <v>2513200110</v>
      </c>
      <c r="C10" s="44" t="s">
        <v>279</v>
      </c>
      <c r="D10" s="45">
        <v>88.5</v>
      </c>
      <c r="E10" s="45">
        <v>81</v>
      </c>
      <c r="F10" s="45">
        <v>60</v>
      </c>
      <c r="G10" s="45">
        <v>88</v>
      </c>
      <c r="H10" s="45">
        <v>82.5</v>
      </c>
      <c r="I10" s="45">
        <v>86.5</v>
      </c>
      <c r="J10" s="45">
        <v>78</v>
      </c>
      <c r="K10" s="45">
        <v>74.5</v>
      </c>
      <c r="L10" s="48">
        <f t="shared" si="0"/>
        <v>80.642857142857096</v>
      </c>
      <c r="M10" s="44">
        <f t="shared" si="1"/>
        <v>14</v>
      </c>
      <c r="N10" s="49">
        <v>35</v>
      </c>
      <c r="O10" s="44">
        <f>N10-M10</f>
        <v>21</v>
      </c>
      <c r="P10" s="48">
        <f t="shared" si="2"/>
        <v>56.45</v>
      </c>
      <c r="Q10" s="44"/>
      <c r="R10" s="44">
        <f t="shared" si="3"/>
        <v>0</v>
      </c>
      <c r="S10" s="44"/>
      <c r="T10" s="44"/>
      <c r="U10" s="44">
        <v>2</v>
      </c>
      <c r="V10" s="48">
        <f t="shared" si="4"/>
        <v>58.45</v>
      </c>
      <c r="W10" s="44">
        <f t="shared" si="5"/>
        <v>9</v>
      </c>
      <c r="X10" s="53" t="s">
        <v>280</v>
      </c>
      <c r="Y10" s="54">
        <v>74.5</v>
      </c>
      <c r="Z10" s="53">
        <f t="shared" si="6"/>
        <v>0.72499999999999998</v>
      </c>
      <c r="AA10" s="55" t="s">
        <v>281</v>
      </c>
      <c r="AB10" s="55">
        <v>4</v>
      </c>
      <c r="AC10" s="55">
        <v>4</v>
      </c>
      <c r="AD10" s="55">
        <v>2</v>
      </c>
      <c r="AE10" s="55"/>
      <c r="AF10" s="55"/>
      <c r="AG10" s="55">
        <v>10</v>
      </c>
      <c r="AH10" s="56" t="s">
        <v>282</v>
      </c>
      <c r="AI10" s="56"/>
      <c r="AJ10" s="56" t="s">
        <v>283</v>
      </c>
      <c r="AK10" s="56"/>
      <c r="AL10" s="56"/>
      <c r="AM10" s="56"/>
      <c r="AN10" s="56"/>
      <c r="AO10" s="56"/>
      <c r="AP10" s="56">
        <v>0.5</v>
      </c>
      <c r="AQ10" s="56"/>
      <c r="AR10" s="56">
        <f t="shared" si="7"/>
        <v>0.5</v>
      </c>
      <c r="AS10" s="56" t="s">
        <v>284</v>
      </c>
      <c r="AT10" s="56"/>
      <c r="AU10" s="56"/>
      <c r="AV10" s="56"/>
      <c r="AW10" s="56"/>
      <c r="AX10" s="56"/>
      <c r="AY10" s="56"/>
      <c r="AZ10" s="56">
        <f t="shared" si="8"/>
        <v>0</v>
      </c>
      <c r="BA10" s="56"/>
      <c r="BB10" s="56" t="s">
        <v>285</v>
      </c>
      <c r="BC10" s="56"/>
      <c r="BD10" s="56"/>
      <c r="BE10" s="56"/>
      <c r="BF10" s="56"/>
      <c r="BG10" s="56"/>
      <c r="BH10" s="56"/>
      <c r="BI10" s="56">
        <v>0.3</v>
      </c>
      <c r="BJ10" s="56"/>
      <c r="BK10" s="56"/>
      <c r="BL10" s="56">
        <v>0.5</v>
      </c>
      <c r="BM10" s="56">
        <v>0.3</v>
      </c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>
        <v>0.7</v>
      </c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>
        <v>0.3</v>
      </c>
      <c r="CS10" s="56"/>
      <c r="CT10" s="56"/>
      <c r="CU10" s="56"/>
      <c r="CV10" s="56">
        <f t="shared" si="9"/>
        <v>2.1</v>
      </c>
      <c r="CW10" s="56">
        <f t="shared" si="10"/>
        <v>2.1</v>
      </c>
      <c r="CX10" s="56">
        <f t="shared" si="11"/>
        <v>0</v>
      </c>
      <c r="CY10" s="56">
        <f t="shared" si="12"/>
        <v>2.6</v>
      </c>
      <c r="CZ10" s="60" t="s">
        <v>28</v>
      </c>
      <c r="DA10" s="60">
        <v>2513200110</v>
      </c>
      <c r="DB10" s="60">
        <v>10</v>
      </c>
      <c r="DC10" s="61">
        <f t="shared" si="13"/>
        <v>58.45</v>
      </c>
      <c r="DD10" s="60">
        <f t="shared" si="14"/>
        <v>0.72499999999999998</v>
      </c>
      <c r="DE10" s="60">
        <f t="shared" si="15"/>
        <v>2.6</v>
      </c>
      <c r="DF10" s="60">
        <f t="shared" si="16"/>
        <v>71.775000000000006</v>
      </c>
      <c r="DG10" s="60">
        <f t="shared" si="17"/>
        <v>17</v>
      </c>
      <c r="DH10" s="61">
        <f t="shared" si="18"/>
        <v>564.5</v>
      </c>
      <c r="DI10" s="60">
        <f t="shared" si="19"/>
        <v>14</v>
      </c>
    </row>
    <row r="11" spans="1:113" ht="15.65" customHeight="1">
      <c r="A11" s="42" t="s">
        <v>29</v>
      </c>
      <c r="B11" s="43">
        <v>2513200111</v>
      </c>
      <c r="C11" s="44" t="s">
        <v>279</v>
      </c>
      <c r="D11" s="45">
        <v>95</v>
      </c>
      <c r="E11" s="45">
        <v>76</v>
      </c>
      <c r="F11" s="45">
        <v>56.5</v>
      </c>
      <c r="G11" s="45">
        <v>74</v>
      </c>
      <c r="H11" s="45">
        <v>65</v>
      </c>
      <c r="I11" s="45">
        <v>77.5</v>
      </c>
      <c r="J11" s="45">
        <v>64.5</v>
      </c>
      <c r="K11" s="45">
        <v>97</v>
      </c>
      <c r="L11" s="48">
        <f t="shared" si="0"/>
        <v>72.642857142857096</v>
      </c>
      <c r="M11" s="44">
        <f t="shared" si="1"/>
        <v>36</v>
      </c>
      <c r="N11" s="49">
        <v>38</v>
      </c>
      <c r="O11" s="44">
        <f>N11-M11</f>
        <v>2</v>
      </c>
      <c r="P11" s="48">
        <f t="shared" si="2"/>
        <v>50.85</v>
      </c>
      <c r="Q11" s="44">
        <v>1</v>
      </c>
      <c r="R11" s="44">
        <f t="shared" si="3"/>
        <v>0.5</v>
      </c>
      <c r="S11" s="44"/>
      <c r="T11" s="44">
        <v>0.5</v>
      </c>
      <c r="U11" s="44"/>
      <c r="V11" s="48">
        <f t="shared" si="4"/>
        <v>50.85</v>
      </c>
      <c r="W11" s="44">
        <f t="shared" si="5"/>
        <v>34</v>
      </c>
      <c r="X11" s="53" t="s">
        <v>280</v>
      </c>
      <c r="Y11" s="54">
        <v>97</v>
      </c>
      <c r="Z11" s="53">
        <f t="shared" si="6"/>
        <v>1.85</v>
      </c>
      <c r="AA11" s="55" t="s">
        <v>281</v>
      </c>
      <c r="AB11" s="55">
        <v>4</v>
      </c>
      <c r="AC11" s="55">
        <v>4</v>
      </c>
      <c r="AD11" s="55">
        <v>2</v>
      </c>
      <c r="AE11" s="55"/>
      <c r="AF11" s="55"/>
      <c r="AG11" s="55">
        <v>10</v>
      </c>
      <c r="AH11" s="56" t="s">
        <v>282</v>
      </c>
      <c r="AI11" s="56"/>
      <c r="AJ11" s="56" t="s">
        <v>283</v>
      </c>
      <c r="AK11" s="56"/>
      <c r="AL11" s="56"/>
      <c r="AM11" s="56"/>
      <c r="AN11" s="56"/>
      <c r="AO11" s="56"/>
      <c r="AP11" s="56"/>
      <c r="AQ11" s="56"/>
      <c r="AR11" s="56">
        <f t="shared" si="7"/>
        <v>0</v>
      </c>
      <c r="AS11" s="56" t="s">
        <v>284</v>
      </c>
      <c r="AT11" s="56"/>
      <c r="AU11" s="56"/>
      <c r="AV11" s="56"/>
      <c r="AW11" s="56"/>
      <c r="AX11" s="56"/>
      <c r="AY11" s="56">
        <v>0.5</v>
      </c>
      <c r="AZ11" s="56">
        <f t="shared" si="8"/>
        <v>0.5</v>
      </c>
      <c r="BA11" s="56"/>
      <c r="BB11" s="56" t="s">
        <v>285</v>
      </c>
      <c r="BC11" s="56"/>
      <c r="BD11" s="56">
        <v>1</v>
      </c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>
        <v>1</v>
      </c>
      <c r="BU11" s="56">
        <v>0.5</v>
      </c>
      <c r="BV11" s="56"/>
      <c r="BW11" s="56"/>
      <c r="BX11" s="56"/>
      <c r="BY11" s="56">
        <v>1</v>
      </c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>
        <v>0.3</v>
      </c>
      <c r="CO11" s="56"/>
      <c r="CP11" s="56"/>
      <c r="CQ11" s="56"/>
      <c r="CR11" s="56">
        <v>0.2</v>
      </c>
      <c r="CS11" s="56"/>
      <c r="CT11" s="56"/>
      <c r="CU11" s="56"/>
      <c r="CV11" s="56">
        <f t="shared" si="9"/>
        <v>4</v>
      </c>
      <c r="CW11" s="56">
        <f t="shared" si="10"/>
        <v>4</v>
      </c>
      <c r="CX11" s="56">
        <f t="shared" si="11"/>
        <v>0</v>
      </c>
      <c r="CY11" s="56">
        <f t="shared" si="12"/>
        <v>4.5</v>
      </c>
      <c r="CZ11" s="60" t="s">
        <v>29</v>
      </c>
      <c r="DA11" s="60">
        <v>2513200111</v>
      </c>
      <c r="DB11" s="60">
        <v>10</v>
      </c>
      <c r="DC11" s="61">
        <f t="shared" si="13"/>
        <v>50.85</v>
      </c>
      <c r="DD11" s="60">
        <f t="shared" si="14"/>
        <v>1.85</v>
      </c>
      <c r="DE11" s="60">
        <f t="shared" si="15"/>
        <v>4.5</v>
      </c>
      <c r="DF11" s="60">
        <f t="shared" si="16"/>
        <v>67.2</v>
      </c>
      <c r="DG11" s="60">
        <f t="shared" si="17"/>
        <v>29</v>
      </c>
      <c r="DH11" s="61">
        <f t="shared" si="18"/>
        <v>508.5</v>
      </c>
      <c r="DI11" s="60">
        <f t="shared" si="19"/>
        <v>36</v>
      </c>
    </row>
    <row r="12" spans="1:113" ht="15.65" customHeight="1">
      <c r="A12" s="42" t="s">
        <v>30</v>
      </c>
      <c r="B12" s="43">
        <v>2513200112</v>
      </c>
      <c r="C12" s="44" t="s">
        <v>279</v>
      </c>
      <c r="D12" s="45">
        <v>84</v>
      </c>
      <c r="E12" s="45">
        <v>82</v>
      </c>
      <c r="F12" s="45">
        <v>61.5</v>
      </c>
      <c r="G12" s="45">
        <v>61</v>
      </c>
      <c r="H12" s="45">
        <v>84.5</v>
      </c>
      <c r="I12" s="45">
        <v>83</v>
      </c>
      <c r="J12" s="45">
        <v>88</v>
      </c>
      <c r="K12" s="45">
        <v>89</v>
      </c>
      <c r="L12" s="48">
        <f t="shared" si="0"/>
        <v>77.714285714285694</v>
      </c>
      <c r="M12" s="44">
        <f t="shared" si="1"/>
        <v>25</v>
      </c>
      <c r="N12" s="49">
        <v>24</v>
      </c>
      <c r="O12" s="44">
        <v>0</v>
      </c>
      <c r="P12" s="48">
        <f t="shared" si="2"/>
        <v>54.4</v>
      </c>
      <c r="Q12" s="44"/>
      <c r="R12" s="44">
        <f t="shared" si="3"/>
        <v>0</v>
      </c>
      <c r="S12" s="44"/>
      <c r="T12" s="44"/>
      <c r="U12" s="44"/>
      <c r="V12" s="48">
        <f t="shared" si="4"/>
        <v>54.4</v>
      </c>
      <c r="W12" s="44">
        <f t="shared" si="5"/>
        <v>25</v>
      </c>
      <c r="X12" s="53" t="s">
        <v>280</v>
      </c>
      <c r="Y12" s="54">
        <v>89</v>
      </c>
      <c r="Z12" s="53">
        <f t="shared" si="6"/>
        <v>1.45</v>
      </c>
      <c r="AA12" s="55" t="s">
        <v>281</v>
      </c>
      <c r="AB12" s="55">
        <v>4</v>
      </c>
      <c r="AC12" s="55">
        <v>4</v>
      </c>
      <c r="AD12" s="55">
        <v>2</v>
      </c>
      <c r="AE12" s="55"/>
      <c r="AF12" s="55"/>
      <c r="AG12" s="55">
        <v>10</v>
      </c>
      <c r="AH12" s="56" t="s">
        <v>282</v>
      </c>
      <c r="AI12" s="56">
        <v>1</v>
      </c>
      <c r="AJ12" s="56" t="s">
        <v>283</v>
      </c>
      <c r="AK12" s="56"/>
      <c r="AL12" s="56"/>
      <c r="AM12" s="56"/>
      <c r="AN12" s="56"/>
      <c r="AO12" s="56"/>
      <c r="AP12" s="56">
        <v>0.5</v>
      </c>
      <c r="AQ12" s="56"/>
      <c r="AR12" s="56">
        <f t="shared" si="7"/>
        <v>0.5</v>
      </c>
      <c r="AS12" s="56" t="s">
        <v>284</v>
      </c>
      <c r="AT12" s="56"/>
      <c r="AU12" s="56"/>
      <c r="AV12" s="56"/>
      <c r="AW12" s="56"/>
      <c r="AX12" s="56"/>
      <c r="AY12" s="56"/>
      <c r="AZ12" s="56">
        <f t="shared" si="8"/>
        <v>0</v>
      </c>
      <c r="BA12" s="56"/>
      <c r="BB12" s="56" t="s">
        <v>285</v>
      </c>
      <c r="BC12" s="56"/>
      <c r="BD12" s="56"/>
      <c r="BE12" s="56">
        <v>1</v>
      </c>
      <c r="BF12" s="56"/>
      <c r="BG12" s="56"/>
      <c r="BH12" s="56">
        <v>0.3</v>
      </c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>
        <v>0.7</v>
      </c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>
        <v>0.2</v>
      </c>
      <c r="CS12" s="56"/>
      <c r="CT12" s="56"/>
      <c r="CU12" s="56"/>
      <c r="CV12" s="56">
        <f t="shared" si="9"/>
        <v>2.2000000000000002</v>
      </c>
      <c r="CW12" s="56">
        <f t="shared" si="10"/>
        <v>2.2000000000000002</v>
      </c>
      <c r="CX12" s="56">
        <f t="shared" si="11"/>
        <v>0</v>
      </c>
      <c r="CY12" s="56">
        <f t="shared" si="12"/>
        <v>3.7</v>
      </c>
      <c r="CZ12" s="60" t="s">
        <v>30</v>
      </c>
      <c r="DA12" s="60">
        <v>2513200112</v>
      </c>
      <c r="DB12" s="60">
        <v>10</v>
      </c>
      <c r="DC12" s="61">
        <f t="shared" si="13"/>
        <v>54.4</v>
      </c>
      <c r="DD12" s="60">
        <f t="shared" si="14"/>
        <v>1.45</v>
      </c>
      <c r="DE12" s="60">
        <f t="shared" si="15"/>
        <v>3.7</v>
      </c>
      <c r="DF12" s="60">
        <f t="shared" si="16"/>
        <v>69.55</v>
      </c>
      <c r="DG12" s="60">
        <f t="shared" si="17"/>
        <v>24</v>
      </c>
      <c r="DH12" s="61">
        <f t="shared" si="18"/>
        <v>544</v>
      </c>
      <c r="DI12" s="60">
        <f t="shared" si="19"/>
        <v>25</v>
      </c>
    </row>
    <row r="13" spans="1:113" ht="15.65" customHeight="1">
      <c r="A13" s="42" t="s">
        <v>31</v>
      </c>
      <c r="B13" s="43">
        <v>2513200113</v>
      </c>
      <c r="C13" s="44" t="s">
        <v>279</v>
      </c>
      <c r="D13" s="45">
        <v>86.5</v>
      </c>
      <c r="E13" s="45">
        <v>76</v>
      </c>
      <c r="F13" s="45">
        <v>56</v>
      </c>
      <c r="G13" s="45">
        <v>74.5</v>
      </c>
      <c r="H13" s="45">
        <v>55.5</v>
      </c>
      <c r="I13" s="45">
        <v>79</v>
      </c>
      <c r="J13" s="45">
        <v>86</v>
      </c>
      <c r="K13" s="45">
        <v>78.5</v>
      </c>
      <c r="L13" s="48">
        <f t="shared" si="0"/>
        <v>73.357142857142904</v>
      </c>
      <c r="M13" s="44">
        <f t="shared" si="1"/>
        <v>33</v>
      </c>
      <c r="N13" s="49">
        <v>29</v>
      </c>
      <c r="O13" s="44">
        <v>0</v>
      </c>
      <c r="P13" s="48">
        <f t="shared" si="2"/>
        <v>51.35</v>
      </c>
      <c r="Q13" s="44">
        <v>2</v>
      </c>
      <c r="R13" s="44">
        <f t="shared" si="3"/>
        <v>1</v>
      </c>
      <c r="S13" s="44"/>
      <c r="T13" s="44"/>
      <c r="U13" s="44"/>
      <c r="V13" s="48">
        <f t="shared" si="4"/>
        <v>50.35</v>
      </c>
      <c r="W13" s="44">
        <f t="shared" si="5"/>
        <v>37</v>
      </c>
      <c r="X13" s="53" t="s">
        <v>280</v>
      </c>
      <c r="Y13" s="54">
        <v>78.5</v>
      </c>
      <c r="Z13" s="53">
        <f t="shared" si="6"/>
        <v>0.92500000000000004</v>
      </c>
      <c r="AA13" s="55" t="s">
        <v>281</v>
      </c>
      <c r="AB13" s="55">
        <v>4</v>
      </c>
      <c r="AC13" s="55">
        <v>4</v>
      </c>
      <c r="AD13" s="55">
        <v>2</v>
      </c>
      <c r="AE13" s="55"/>
      <c r="AF13" s="55"/>
      <c r="AG13" s="55">
        <v>10</v>
      </c>
      <c r="AH13" s="56" t="s">
        <v>282</v>
      </c>
      <c r="AI13" s="56">
        <v>1</v>
      </c>
      <c r="AJ13" s="56" t="s">
        <v>283</v>
      </c>
      <c r="AK13" s="56"/>
      <c r="AL13" s="56"/>
      <c r="AM13" s="56"/>
      <c r="AN13" s="56"/>
      <c r="AO13" s="56"/>
      <c r="AP13" s="56"/>
      <c r="AQ13" s="56"/>
      <c r="AR13" s="56">
        <f t="shared" si="7"/>
        <v>0</v>
      </c>
      <c r="AS13" s="56" t="s">
        <v>284</v>
      </c>
      <c r="AT13" s="56"/>
      <c r="AU13" s="56"/>
      <c r="AV13" s="56"/>
      <c r="AW13" s="56"/>
      <c r="AX13" s="56"/>
      <c r="AY13" s="56"/>
      <c r="AZ13" s="56">
        <f t="shared" si="8"/>
        <v>0</v>
      </c>
      <c r="BA13" s="56"/>
      <c r="BB13" s="56" t="s">
        <v>285</v>
      </c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>
        <v>1</v>
      </c>
      <c r="BU13" s="56">
        <v>0.5</v>
      </c>
      <c r="BV13" s="56"/>
      <c r="BW13" s="56"/>
      <c r="BX13" s="56"/>
      <c r="BY13" s="56"/>
      <c r="BZ13" s="56"/>
      <c r="CA13" s="56">
        <v>0.5</v>
      </c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>
        <v>0.2</v>
      </c>
      <c r="CS13" s="56"/>
      <c r="CT13" s="56"/>
      <c r="CU13" s="56"/>
      <c r="CV13" s="56">
        <f t="shared" si="9"/>
        <v>2.2000000000000002</v>
      </c>
      <c r="CW13" s="56">
        <f t="shared" si="10"/>
        <v>2.2000000000000002</v>
      </c>
      <c r="CX13" s="56">
        <f t="shared" si="11"/>
        <v>0</v>
      </c>
      <c r="CY13" s="56">
        <f t="shared" si="12"/>
        <v>3.2</v>
      </c>
      <c r="CZ13" s="60" t="s">
        <v>31</v>
      </c>
      <c r="DA13" s="60">
        <v>2513200113</v>
      </c>
      <c r="DB13" s="60">
        <v>10</v>
      </c>
      <c r="DC13" s="61">
        <f t="shared" si="13"/>
        <v>50.35</v>
      </c>
      <c r="DD13" s="60">
        <f t="shared" si="14"/>
        <v>0.92500000000000004</v>
      </c>
      <c r="DE13" s="60">
        <f t="shared" si="15"/>
        <v>3.2</v>
      </c>
      <c r="DF13" s="60">
        <f t="shared" si="16"/>
        <v>64.474999999999994</v>
      </c>
      <c r="DG13" s="60">
        <f t="shared" si="17"/>
        <v>37</v>
      </c>
      <c r="DH13" s="61">
        <f t="shared" si="18"/>
        <v>513.5</v>
      </c>
      <c r="DI13" s="60">
        <f t="shared" si="19"/>
        <v>33</v>
      </c>
    </row>
    <row r="14" spans="1:113" ht="15.65" customHeight="1">
      <c r="A14" s="42" t="s">
        <v>32</v>
      </c>
      <c r="B14" s="46">
        <v>2513200114</v>
      </c>
      <c r="C14" s="44" t="s">
        <v>279</v>
      </c>
      <c r="D14" s="45">
        <v>72</v>
      </c>
      <c r="E14" s="45">
        <v>73.5</v>
      </c>
      <c r="F14" s="45">
        <v>58</v>
      </c>
      <c r="G14" s="45">
        <v>50</v>
      </c>
      <c r="H14" s="45">
        <v>65</v>
      </c>
      <c r="I14" s="45">
        <v>79</v>
      </c>
      <c r="J14" s="45">
        <v>72.5</v>
      </c>
      <c r="K14" s="45">
        <v>65</v>
      </c>
      <c r="L14" s="48">
        <f t="shared" si="0"/>
        <v>67.142857142857096</v>
      </c>
      <c r="M14" s="44">
        <f t="shared" si="1"/>
        <v>46</v>
      </c>
      <c r="N14" s="49">
        <v>40</v>
      </c>
      <c r="O14" s="44">
        <v>0</v>
      </c>
      <c r="P14" s="48">
        <f t="shared" si="2"/>
        <v>47</v>
      </c>
      <c r="Q14" s="44">
        <v>2</v>
      </c>
      <c r="R14" s="44">
        <f t="shared" si="3"/>
        <v>1</v>
      </c>
      <c r="S14" s="44"/>
      <c r="T14" s="44"/>
      <c r="U14" s="44"/>
      <c r="V14" s="48">
        <f t="shared" si="4"/>
        <v>46</v>
      </c>
      <c r="W14" s="44">
        <f t="shared" si="5"/>
        <v>46</v>
      </c>
      <c r="X14" s="53" t="s">
        <v>280</v>
      </c>
      <c r="Y14" s="54">
        <v>65</v>
      </c>
      <c r="Z14" s="53">
        <f t="shared" si="6"/>
        <v>0.25</v>
      </c>
      <c r="AA14" s="55" t="s">
        <v>281</v>
      </c>
      <c r="AB14" s="55">
        <v>4</v>
      </c>
      <c r="AC14" s="55">
        <v>4</v>
      </c>
      <c r="AD14" s="55">
        <v>2</v>
      </c>
      <c r="AE14" s="55"/>
      <c r="AF14" s="55"/>
      <c r="AG14" s="55">
        <v>10</v>
      </c>
      <c r="AH14" s="56" t="s">
        <v>282</v>
      </c>
      <c r="AI14" s="56"/>
      <c r="AJ14" s="56" t="s">
        <v>283</v>
      </c>
      <c r="AK14" s="56"/>
      <c r="AL14" s="56"/>
      <c r="AM14" s="56"/>
      <c r="AN14" s="56"/>
      <c r="AO14" s="56"/>
      <c r="AP14" s="56"/>
      <c r="AQ14" s="56"/>
      <c r="AR14" s="56">
        <f t="shared" si="7"/>
        <v>0</v>
      </c>
      <c r="AS14" s="56" t="s">
        <v>284</v>
      </c>
      <c r="AT14" s="56"/>
      <c r="AU14" s="56"/>
      <c r="AV14" s="56"/>
      <c r="AW14" s="56"/>
      <c r="AX14" s="56"/>
      <c r="AY14" s="56"/>
      <c r="AZ14" s="56">
        <f t="shared" si="8"/>
        <v>0</v>
      </c>
      <c r="BA14" s="56"/>
      <c r="BB14" s="56" t="s">
        <v>285</v>
      </c>
      <c r="BC14" s="56"/>
      <c r="BD14" s="56"/>
      <c r="BE14" s="56">
        <v>1</v>
      </c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>
        <v>1</v>
      </c>
      <c r="BZ14" s="56"/>
      <c r="CA14" s="56">
        <v>0.5</v>
      </c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>
        <v>0.2</v>
      </c>
      <c r="CS14" s="56"/>
      <c r="CT14" s="56"/>
      <c r="CU14" s="56"/>
      <c r="CV14" s="56">
        <f t="shared" si="9"/>
        <v>2.7</v>
      </c>
      <c r="CW14" s="56">
        <f t="shared" si="10"/>
        <v>2.7</v>
      </c>
      <c r="CX14" s="56">
        <f t="shared" si="11"/>
        <v>0</v>
      </c>
      <c r="CY14" s="56">
        <f t="shared" si="12"/>
        <v>2.7</v>
      </c>
      <c r="CZ14" s="60" t="s">
        <v>32</v>
      </c>
      <c r="DA14" s="60">
        <v>2513200114</v>
      </c>
      <c r="DB14" s="60">
        <v>10</v>
      </c>
      <c r="DC14" s="61">
        <f t="shared" si="13"/>
        <v>46</v>
      </c>
      <c r="DD14" s="60">
        <f t="shared" si="14"/>
        <v>0.25</v>
      </c>
      <c r="DE14" s="60">
        <f t="shared" si="15"/>
        <v>2.7</v>
      </c>
      <c r="DF14" s="60">
        <f t="shared" si="16"/>
        <v>58.95</v>
      </c>
      <c r="DG14" s="60">
        <f t="shared" si="17"/>
        <v>45</v>
      </c>
      <c r="DH14" s="61">
        <f t="shared" si="18"/>
        <v>470</v>
      </c>
      <c r="DI14" s="60">
        <f t="shared" si="19"/>
        <v>46</v>
      </c>
    </row>
    <row r="15" spans="1:113" ht="15.65" customHeight="1">
      <c r="A15" s="42" t="s">
        <v>33</v>
      </c>
      <c r="B15" s="46">
        <v>2513200115</v>
      </c>
      <c r="C15" s="44" t="s">
        <v>279</v>
      </c>
      <c r="D15" s="45">
        <v>80.5</v>
      </c>
      <c r="E15" s="45">
        <v>75.5</v>
      </c>
      <c r="F15" s="45">
        <v>63.5</v>
      </c>
      <c r="G15" s="45">
        <v>60</v>
      </c>
      <c r="H15" s="45">
        <v>73</v>
      </c>
      <c r="I15" s="45">
        <v>70.5</v>
      </c>
      <c r="J15" s="45">
        <v>84.5</v>
      </c>
      <c r="K15" s="45">
        <v>87</v>
      </c>
      <c r="L15" s="48">
        <f t="shared" si="0"/>
        <v>72.5</v>
      </c>
      <c r="M15" s="44">
        <f t="shared" si="1"/>
        <v>37</v>
      </c>
      <c r="N15" s="49">
        <v>38</v>
      </c>
      <c r="O15" s="44">
        <f t="shared" ref="O15:O21" si="20">N15-M15</f>
        <v>1</v>
      </c>
      <c r="P15" s="48">
        <f t="shared" si="2"/>
        <v>50.75</v>
      </c>
      <c r="Q15" s="44"/>
      <c r="R15" s="44">
        <f t="shared" si="3"/>
        <v>0</v>
      </c>
      <c r="S15" s="44"/>
      <c r="T15" s="44"/>
      <c r="U15" s="44"/>
      <c r="V15" s="48">
        <f t="shared" si="4"/>
        <v>50.75</v>
      </c>
      <c r="W15" s="44">
        <f t="shared" si="5"/>
        <v>35</v>
      </c>
      <c r="X15" s="53" t="s">
        <v>280</v>
      </c>
      <c r="Y15" s="54">
        <v>87</v>
      </c>
      <c r="Z15" s="53">
        <f t="shared" si="6"/>
        <v>1.35</v>
      </c>
      <c r="AA15" s="55" t="s">
        <v>281</v>
      </c>
      <c r="AB15" s="55">
        <v>4</v>
      </c>
      <c r="AC15" s="55">
        <v>4</v>
      </c>
      <c r="AD15" s="55">
        <v>2</v>
      </c>
      <c r="AE15" s="55"/>
      <c r="AF15" s="55"/>
      <c r="AG15" s="55">
        <v>10</v>
      </c>
      <c r="AH15" s="56" t="s">
        <v>282</v>
      </c>
      <c r="AI15" s="56">
        <v>1</v>
      </c>
      <c r="AJ15" s="56" t="s">
        <v>283</v>
      </c>
      <c r="AK15" s="56"/>
      <c r="AL15" s="56"/>
      <c r="AM15" s="56"/>
      <c r="AN15" s="56"/>
      <c r="AO15" s="56"/>
      <c r="AP15" s="56"/>
      <c r="AQ15" s="56"/>
      <c r="AR15" s="56">
        <f t="shared" si="7"/>
        <v>0</v>
      </c>
      <c r="AS15" s="56" t="s">
        <v>284</v>
      </c>
      <c r="AT15" s="56"/>
      <c r="AU15" s="56"/>
      <c r="AV15" s="56"/>
      <c r="AW15" s="56"/>
      <c r="AX15" s="56"/>
      <c r="AY15" s="56"/>
      <c r="AZ15" s="56">
        <f t="shared" si="8"/>
        <v>0</v>
      </c>
      <c r="BA15" s="56"/>
      <c r="BB15" s="56" t="s">
        <v>285</v>
      </c>
      <c r="BC15" s="56">
        <v>0.5</v>
      </c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>
        <v>0.5</v>
      </c>
      <c r="CS15" s="56"/>
      <c r="CT15" s="56"/>
      <c r="CU15" s="56"/>
      <c r="CV15" s="56">
        <f t="shared" si="9"/>
        <v>1</v>
      </c>
      <c r="CW15" s="56">
        <f t="shared" si="10"/>
        <v>1</v>
      </c>
      <c r="CX15" s="56">
        <f t="shared" si="11"/>
        <v>0</v>
      </c>
      <c r="CY15" s="56">
        <f t="shared" si="12"/>
        <v>2</v>
      </c>
      <c r="CZ15" s="60" t="s">
        <v>33</v>
      </c>
      <c r="DA15" s="60">
        <v>2513200115</v>
      </c>
      <c r="DB15" s="60">
        <v>10</v>
      </c>
      <c r="DC15" s="61">
        <f t="shared" si="13"/>
        <v>50.75</v>
      </c>
      <c r="DD15" s="60">
        <f t="shared" si="14"/>
        <v>1.35</v>
      </c>
      <c r="DE15" s="60">
        <f t="shared" si="15"/>
        <v>2</v>
      </c>
      <c r="DF15" s="60">
        <f t="shared" si="16"/>
        <v>64.099999999999994</v>
      </c>
      <c r="DG15" s="60">
        <f t="shared" si="17"/>
        <v>38</v>
      </c>
      <c r="DH15" s="61">
        <f t="shared" si="18"/>
        <v>507.5</v>
      </c>
      <c r="DI15" s="60">
        <f t="shared" si="19"/>
        <v>37</v>
      </c>
    </row>
    <row r="16" spans="1:113" ht="15.65" customHeight="1">
      <c r="A16" s="42" t="s">
        <v>34</v>
      </c>
      <c r="B16" s="43">
        <v>2513200116</v>
      </c>
      <c r="C16" s="44" t="s">
        <v>279</v>
      </c>
      <c r="D16" s="45">
        <v>86</v>
      </c>
      <c r="E16" s="45">
        <v>92</v>
      </c>
      <c r="F16" s="45">
        <v>83.5</v>
      </c>
      <c r="G16" s="45">
        <v>76.5</v>
      </c>
      <c r="H16" s="45">
        <v>86</v>
      </c>
      <c r="I16" s="45">
        <v>84</v>
      </c>
      <c r="J16" s="45">
        <v>88</v>
      </c>
      <c r="K16" s="45">
        <v>77</v>
      </c>
      <c r="L16" s="48">
        <f t="shared" si="0"/>
        <v>85.142857142857096</v>
      </c>
      <c r="M16" s="44">
        <f t="shared" si="1"/>
        <v>4</v>
      </c>
      <c r="N16" s="49">
        <v>9</v>
      </c>
      <c r="O16" s="44">
        <f t="shared" si="20"/>
        <v>5</v>
      </c>
      <c r="P16" s="48">
        <f t="shared" si="2"/>
        <v>59.6</v>
      </c>
      <c r="Q16" s="44"/>
      <c r="R16" s="44">
        <f t="shared" si="3"/>
        <v>0</v>
      </c>
      <c r="S16" s="44"/>
      <c r="T16" s="44"/>
      <c r="U16" s="44"/>
      <c r="V16" s="48">
        <f t="shared" si="4"/>
        <v>59.6</v>
      </c>
      <c r="W16" s="44">
        <f t="shared" si="5"/>
        <v>7</v>
      </c>
      <c r="X16" s="53" t="s">
        <v>280</v>
      </c>
      <c r="Y16" s="54">
        <v>77</v>
      </c>
      <c r="Z16" s="53">
        <f t="shared" si="6"/>
        <v>0.85</v>
      </c>
      <c r="AA16" s="55" t="s">
        <v>281</v>
      </c>
      <c r="AB16" s="55">
        <v>4</v>
      </c>
      <c r="AC16" s="55">
        <v>4</v>
      </c>
      <c r="AD16" s="55">
        <v>2</v>
      </c>
      <c r="AE16" s="55"/>
      <c r="AF16" s="55"/>
      <c r="AG16" s="55">
        <v>10</v>
      </c>
      <c r="AH16" s="56" t="s">
        <v>282</v>
      </c>
      <c r="AI16" s="56">
        <v>1</v>
      </c>
      <c r="AJ16" s="56" t="s">
        <v>283</v>
      </c>
      <c r="AK16" s="56"/>
      <c r="AL16" s="56"/>
      <c r="AM16" s="56"/>
      <c r="AN16" s="56"/>
      <c r="AO16" s="56"/>
      <c r="AP16" s="56">
        <v>0.5</v>
      </c>
      <c r="AQ16" s="56"/>
      <c r="AR16" s="56">
        <f t="shared" si="7"/>
        <v>0.5</v>
      </c>
      <c r="AS16" s="56" t="s">
        <v>284</v>
      </c>
      <c r="AT16" s="56">
        <v>2</v>
      </c>
      <c r="AU16" s="56"/>
      <c r="AV16" s="56"/>
      <c r="AW16" s="56">
        <v>0.5</v>
      </c>
      <c r="AX16" s="56"/>
      <c r="AY16" s="56"/>
      <c r="AZ16" s="56">
        <f t="shared" si="8"/>
        <v>2.5</v>
      </c>
      <c r="BA16" s="56"/>
      <c r="BB16" s="56" t="s">
        <v>285</v>
      </c>
      <c r="BC16" s="56"/>
      <c r="BD16" s="56"/>
      <c r="BE16" s="56">
        <v>1</v>
      </c>
      <c r="BF16" s="56"/>
      <c r="BG16" s="56"/>
      <c r="BH16" s="56"/>
      <c r="BI16" s="56"/>
      <c r="BJ16" s="56"/>
      <c r="BK16" s="56"/>
      <c r="BL16" s="56"/>
      <c r="BM16" s="56"/>
      <c r="BN16" s="56">
        <v>0.8</v>
      </c>
      <c r="BO16" s="56"/>
      <c r="BP16" s="56">
        <v>0.3</v>
      </c>
      <c r="BQ16" s="56">
        <v>0.8</v>
      </c>
      <c r="BR16" s="56"/>
      <c r="BS16" s="56"/>
      <c r="BT16" s="56"/>
      <c r="BU16" s="56">
        <v>0.5</v>
      </c>
      <c r="BV16" s="56"/>
      <c r="BW16" s="56"/>
      <c r="BX16" s="56"/>
      <c r="BY16" s="56"/>
      <c r="BZ16" s="56"/>
      <c r="CA16" s="56">
        <v>0.5</v>
      </c>
      <c r="CB16" s="56"/>
      <c r="CC16" s="56"/>
      <c r="CD16" s="56"/>
      <c r="CE16" s="56"/>
      <c r="CF16" s="56"/>
      <c r="CG16" s="56"/>
      <c r="CH16" s="56"/>
      <c r="CI16" s="56">
        <v>0.3</v>
      </c>
      <c r="CJ16" s="56"/>
      <c r="CK16" s="56"/>
      <c r="CL16" s="56"/>
      <c r="CM16" s="56"/>
      <c r="CN16" s="56"/>
      <c r="CO16" s="56"/>
      <c r="CP16" s="56"/>
      <c r="CQ16" s="56"/>
      <c r="CR16" s="56">
        <v>0.3</v>
      </c>
      <c r="CS16" s="56"/>
      <c r="CT16" s="56"/>
      <c r="CU16" s="56"/>
      <c r="CV16" s="56">
        <f t="shared" si="9"/>
        <v>4.5</v>
      </c>
      <c r="CW16" s="56">
        <f t="shared" si="10"/>
        <v>4</v>
      </c>
      <c r="CX16" s="56">
        <f t="shared" si="11"/>
        <v>0.5</v>
      </c>
      <c r="CY16" s="56">
        <f t="shared" si="12"/>
        <v>8</v>
      </c>
      <c r="CZ16" s="60" t="s">
        <v>34</v>
      </c>
      <c r="DA16" s="60">
        <v>2513200116</v>
      </c>
      <c r="DB16" s="60">
        <v>10</v>
      </c>
      <c r="DC16" s="61">
        <f t="shared" si="13"/>
        <v>59.6</v>
      </c>
      <c r="DD16" s="60">
        <f t="shared" si="14"/>
        <v>0.85</v>
      </c>
      <c r="DE16" s="60">
        <f t="shared" si="15"/>
        <v>8</v>
      </c>
      <c r="DF16" s="60">
        <f t="shared" si="16"/>
        <v>78.45</v>
      </c>
      <c r="DG16" s="60">
        <f t="shared" si="17"/>
        <v>8</v>
      </c>
      <c r="DH16" s="61">
        <f t="shared" si="18"/>
        <v>596</v>
      </c>
      <c r="DI16" s="60">
        <f t="shared" si="19"/>
        <v>4</v>
      </c>
    </row>
    <row r="17" spans="1:113" ht="15.65" customHeight="1">
      <c r="A17" s="42" t="s">
        <v>35</v>
      </c>
      <c r="B17" s="43">
        <v>2513200117</v>
      </c>
      <c r="C17" s="44" t="s">
        <v>279</v>
      </c>
      <c r="D17" s="45">
        <v>88.5</v>
      </c>
      <c r="E17" s="45">
        <v>90</v>
      </c>
      <c r="F17" s="45">
        <v>79</v>
      </c>
      <c r="G17" s="45">
        <v>88</v>
      </c>
      <c r="H17" s="45">
        <v>84</v>
      </c>
      <c r="I17" s="45">
        <v>86.5</v>
      </c>
      <c r="J17" s="45">
        <v>87</v>
      </c>
      <c r="K17" s="45">
        <v>82.5</v>
      </c>
      <c r="L17" s="48">
        <f t="shared" si="0"/>
        <v>86.142857142857096</v>
      </c>
      <c r="M17" s="44">
        <f t="shared" si="1"/>
        <v>2</v>
      </c>
      <c r="N17" s="49">
        <v>5</v>
      </c>
      <c r="O17" s="44">
        <f t="shared" si="20"/>
        <v>3</v>
      </c>
      <c r="P17" s="48">
        <f t="shared" si="2"/>
        <v>60.3</v>
      </c>
      <c r="Q17" s="44"/>
      <c r="R17" s="44">
        <f t="shared" si="3"/>
        <v>0</v>
      </c>
      <c r="S17" s="44">
        <v>0.8</v>
      </c>
      <c r="T17" s="44"/>
      <c r="U17" s="44"/>
      <c r="V17" s="48">
        <f t="shared" si="4"/>
        <v>61.1</v>
      </c>
      <c r="W17" s="44">
        <f t="shared" si="5"/>
        <v>2</v>
      </c>
      <c r="X17" s="53" t="s">
        <v>280</v>
      </c>
      <c r="Y17" s="54">
        <v>82.5</v>
      </c>
      <c r="Z17" s="53">
        <f t="shared" si="6"/>
        <v>1.125</v>
      </c>
      <c r="AA17" s="55" t="s">
        <v>281</v>
      </c>
      <c r="AB17" s="55">
        <v>4</v>
      </c>
      <c r="AC17" s="55">
        <v>4</v>
      </c>
      <c r="AD17" s="55">
        <v>2</v>
      </c>
      <c r="AE17" s="55"/>
      <c r="AF17" s="55"/>
      <c r="AG17" s="55">
        <v>10</v>
      </c>
      <c r="AH17" s="56" t="s">
        <v>282</v>
      </c>
      <c r="AI17" s="56">
        <v>1</v>
      </c>
      <c r="AJ17" s="56" t="s">
        <v>283</v>
      </c>
      <c r="AK17" s="56">
        <v>2.5</v>
      </c>
      <c r="AL17" s="56"/>
      <c r="AM17" s="56"/>
      <c r="AN17" s="56"/>
      <c r="AO17" s="56"/>
      <c r="AP17" s="56">
        <v>0.5</v>
      </c>
      <c r="AQ17" s="56">
        <v>0.5</v>
      </c>
      <c r="AR17" s="56">
        <f t="shared" si="7"/>
        <v>3.5</v>
      </c>
      <c r="AS17" s="56" t="s">
        <v>284</v>
      </c>
      <c r="AT17" s="56">
        <v>1.8</v>
      </c>
      <c r="AU17" s="56"/>
      <c r="AV17" s="56"/>
      <c r="AW17" s="56"/>
      <c r="AX17" s="56">
        <v>0.3</v>
      </c>
      <c r="AY17" s="56">
        <v>0.5</v>
      </c>
      <c r="AZ17" s="56">
        <f t="shared" si="8"/>
        <v>2.6</v>
      </c>
      <c r="BA17" s="56"/>
      <c r="BB17" s="56" t="s">
        <v>285</v>
      </c>
      <c r="BC17" s="56"/>
      <c r="BD17" s="56">
        <v>1.6</v>
      </c>
      <c r="BE17" s="56"/>
      <c r="BF17" s="56"/>
      <c r="BG17" s="56"/>
      <c r="BH17" s="56"/>
      <c r="BI17" s="56"/>
      <c r="BJ17" s="56">
        <v>0.5</v>
      </c>
      <c r="BK17" s="56">
        <v>0.5</v>
      </c>
      <c r="BL17" s="56"/>
      <c r="BM17" s="56">
        <v>0.3</v>
      </c>
      <c r="BN17" s="56">
        <v>0.8</v>
      </c>
      <c r="BO17" s="56">
        <v>0.5</v>
      </c>
      <c r="BP17" s="56"/>
      <c r="BQ17" s="56">
        <v>0.8</v>
      </c>
      <c r="BR17" s="56"/>
      <c r="BS17" s="56"/>
      <c r="BT17" s="56"/>
      <c r="BU17" s="56">
        <v>0.5</v>
      </c>
      <c r="BV17" s="56"/>
      <c r="BW17" s="56">
        <v>0.3</v>
      </c>
      <c r="BX17" s="56"/>
      <c r="BY17" s="56"/>
      <c r="BZ17" s="56"/>
      <c r="CA17" s="56">
        <v>0.5</v>
      </c>
      <c r="CB17" s="56"/>
      <c r="CC17" s="56"/>
      <c r="CD17" s="56">
        <v>1</v>
      </c>
      <c r="CE17" s="56">
        <v>0.5</v>
      </c>
      <c r="CF17" s="56"/>
      <c r="CG17" s="56">
        <v>0.5</v>
      </c>
      <c r="CH17" s="56">
        <v>0.5</v>
      </c>
      <c r="CI17" s="56">
        <v>0.3</v>
      </c>
      <c r="CJ17" s="56"/>
      <c r="CK17" s="56"/>
      <c r="CL17" s="56"/>
      <c r="CM17" s="56"/>
      <c r="CN17" s="56"/>
      <c r="CO17" s="56"/>
      <c r="CP17" s="56"/>
      <c r="CQ17" s="56">
        <v>0.5</v>
      </c>
      <c r="CR17" s="56">
        <v>0.8</v>
      </c>
      <c r="CS17" s="56"/>
      <c r="CT17" s="56"/>
      <c r="CU17" s="56"/>
      <c r="CV17" s="56">
        <f t="shared" si="9"/>
        <v>10.4</v>
      </c>
      <c r="CW17" s="56">
        <f t="shared" si="10"/>
        <v>4</v>
      </c>
      <c r="CX17" s="56">
        <f t="shared" si="11"/>
        <v>6.4</v>
      </c>
      <c r="CY17" s="56">
        <f t="shared" si="12"/>
        <v>11.1</v>
      </c>
      <c r="CZ17" s="60" t="s">
        <v>35</v>
      </c>
      <c r="DA17" s="60">
        <v>2513200117</v>
      </c>
      <c r="DB17" s="60">
        <v>10</v>
      </c>
      <c r="DC17" s="61">
        <f t="shared" si="13"/>
        <v>61.1</v>
      </c>
      <c r="DD17" s="60">
        <f t="shared" si="14"/>
        <v>1.125</v>
      </c>
      <c r="DE17" s="60">
        <f t="shared" si="15"/>
        <v>11.1</v>
      </c>
      <c r="DF17" s="60">
        <f t="shared" si="16"/>
        <v>83.325000000000003</v>
      </c>
      <c r="DG17" s="60">
        <f t="shared" si="17"/>
        <v>3</v>
      </c>
      <c r="DH17" s="61">
        <f t="shared" si="18"/>
        <v>603</v>
      </c>
      <c r="DI17" s="60">
        <f t="shared" si="19"/>
        <v>2</v>
      </c>
    </row>
    <row r="18" spans="1:113" ht="15.65" customHeight="1">
      <c r="A18" s="42" t="s">
        <v>36</v>
      </c>
      <c r="B18" s="43">
        <v>2513200118</v>
      </c>
      <c r="C18" s="44" t="s">
        <v>279</v>
      </c>
      <c r="D18" s="45">
        <v>78</v>
      </c>
      <c r="E18" s="45">
        <v>80.5</v>
      </c>
      <c r="F18" s="45">
        <v>81.5</v>
      </c>
      <c r="G18" s="45">
        <v>89.5</v>
      </c>
      <c r="H18" s="45">
        <v>77</v>
      </c>
      <c r="I18" s="45">
        <v>83.5</v>
      </c>
      <c r="J18" s="45">
        <v>89</v>
      </c>
      <c r="K18" s="45">
        <v>72.5</v>
      </c>
      <c r="L18" s="48">
        <f t="shared" si="0"/>
        <v>82.714285714285694</v>
      </c>
      <c r="M18" s="44">
        <f t="shared" si="1"/>
        <v>8</v>
      </c>
      <c r="N18" s="49">
        <v>24</v>
      </c>
      <c r="O18" s="44">
        <f t="shared" si="20"/>
        <v>16</v>
      </c>
      <c r="P18" s="48">
        <f t="shared" si="2"/>
        <v>57.9</v>
      </c>
      <c r="Q18" s="44"/>
      <c r="R18" s="44">
        <f t="shared" si="3"/>
        <v>0</v>
      </c>
      <c r="S18" s="44"/>
      <c r="T18" s="44"/>
      <c r="U18" s="44">
        <v>2</v>
      </c>
      <c r="V18" s="48">
        <f t="shared" si="4"/>
        <v>59.9</v>
      </c>
      <c r="W18" s="44">
        <f t="shared" si="5"/>
        <v>5</v>
      </c>
      <c r="X18" s="53" t="s">
        <v>280</v>
      </c>
      <c r="Y18" s="54">
        <v>72.5</v>
      </c>
      <c r="Z18" s="53">
        <f t="shared" si="6"/>
        <v>0.625</v>
      </c>
      <c r="AA18" s="55" t="s">
        <v>281</v>
      </c>
      <c r="AB18" s="55">
        <v>4</v>
      </c>
      <c r="AC18" s="55">
        <v>4</v>
      </c>
      <c r="AD18" s="55">
        <v>2</v>
      </c>
      <c r="AE18" s="55"/>
      <c r="AF18" s="55"/>
      <c r="AG18" s="55">
        <v>10</v>
      </c>
      <c r="AH18" s="56" t="s">
        <v>282</v>
      </c>
      <c r="AI18" s="56"/>
      <c r="AJ18" s="56" t="s">
        <v>283</v>
      </c>
      <c r="AK18" s="56"/>
      <c r="AL18" s="56"/>
      <c r="AM18" s="56"/>
      <c r="AN18" s="56"/>
      <c r="AO18" s="56"/>
      <c r="AP18" s="56">
        <v>0.5</v>
      </c>
      <c r="AQ18" s="56"/>
      <c r="AR18" s="56">
        <f t="shared" si="7"/>
        <v>0.5</v>
      </c>
      <c r="AS18" s="56" t="s">
        <v>284</v>
      </c>
      <c r="AT18" s="56"/>
      <c r="AU18" s="56"/>
      <c r="AV18" s="56"/>
      <c r="AW18" s="56"/>
      <c r="AX18" s="56"/>
      <c r="AY18" s="56"/>
      <c r="AZ18" s="56">
        <f t="shared" si="8"/>
        <v>0</v>
      </c>
      <c r="BA18" s="56"/>
      <c r="BB18" s="56" t="s">
        <v>285</v>
      </c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>
        <v>0.2</v>
      </c>
      <c r="CS18" s="56"/>
      <c r="CT18" s="56"/>
      <c r="CU18" s="56"/>
      <c r="CV18" s="56">
        <f t="shared" si="9"/>
        <v>0.2</v>
      </c>
      <c r="CW18" s="56">
        <f t="shared" si="10"/>
        <v>0.2</v>
      </c>
      <c r="CX18" s="56">
        <f t="shared" si="11"/>
        <v>0</v>
      </c>
      <c r="CY18" s="56">
        <f t="shared" si="12"/>
        <v>0.7</v>
      </c>
      <c r="CZ18" s="60" t="s">
        <v>36</v>
      </c>
      <c r="DA18" s="60">
        <v>2513200118</v>
      </c>
      <c r="DB18" s="60">
        <v>10</v>
      </c>
      <c r="DC18" s="61">
        <f t="shared" si="13"/>
        <v>59.9</v>
      </c>
      <c r="DD18" s="60">
        <f t="shared" si="14"/>
        <v>0.625</v>
      </c>
      <c r="DE18" s="60">
        <f t="shared" si="15"/>
        <v>0.7</v>
      </c>
      <c r="DF18" s="60">
        <f t="shared" si="16"/>
        <v>71.224999999999994</v>
      </c>
      <c r="DG18" s="60">
        <f t="shared" si="17"/>
        <v>20</v>
      </c>
      <c r="DH18" s="61">
        <f t="shared" si="18"/>
        <v>579</v>
      </c>
      <c r="DI18" s="60">
        <f t="shared" si="19"/>
        <v>8</v>
      </c>
    </row>
    <row r="19" spans="1:113" ht="15.65" customHeight="1">
      <c r="A19" s="42" t="s">
        <v>37</v>
      </c>
      <c r="B19" s="43">
        <v>2513200119</v>
      </c>
      <c r="C19" s="44" t="s">
        <v>279</v>
      </c>
      <c r="D19" s="45">
        <v>81</v>
      </c>
      <c r="E19" s="45">
        <v>84</v>
      </c>
      <c r="F19" s="45">
        <v>72.5</v>
      </c>
      <c r="G19" s="45">
        <v>91</v>
      </c>
      <c r="H19" s="45">
        <v>80</v>
      </c>
      <c r="I19" s="45">
        <v>83</v>
      </c>
      <c r="J19" s="45">
        <v>76</v>
      </c>
      <c r="K19" s="45">
        <v>84.5</v>
      </c>
      <c r="L19" s="48">
        <f t="shared" si="0"/>
        <v>81.071428571428598</v>
      </c>
      <c r="M19" s="44">
        <f t="shared" si="1"/>
        <v>13</v>
      </c>
      <c r="N19" s="49">
        <v>22</v>
      </c>
      <c r="O19" s="44">
        <f t="shared" si="20"/>
        <v>9</v>
      </c>
      <c r="P19" s="48">
        <f t="shared" si="2"/>
        <v>56.75</v>
      </c>
      <c r="Q19" s="44"/>
      <c r="R19" s="44">
        <f t="shared" si="3"/>
        <v>0</v>
      </c>
      <c r="S19" s="44"/>
      <c r="T19" s="44"/>
      <c r="U19" s="44"/>
      <c r="V19" s="48">
        <f t="shared" si="4"/>
        <v>56.75</v>
      </c>
      <c r="W19" s="44">
        <f t="shared" si="5"/>
        <v>15</v>
      </c>
      <c r="X19" s="53" t="s">
        <v>280</v>
      </c>
      <c r="Y19" s="54">
        <v>84.5</v>
      </c>
      <c r="Z19" s="53">
        <f t="shared" si="6"/>
        <v>1.2250000000000001</v>
      </c>
      <c r="AA19" s="55" t="s">
        <v>281</v>
      </c>
      <c r="AB19" s="55">
        <v>4</v>
      </c>
      <c r="AC19" s="55">
        <v>4</v>
      </c>
      <c r="AD19" s="55">
        <v>2</v>
      </c>
      <c r="AE19" s="55"/>
      <c r="AF19" s="55"/>
      <c r="AG19" s="55">
        <v>10</v>
      </c>
      <c r="AH19" s="56" t="s">
        <v>282</v>
      </c>
      <c r="AI19" s="56"/>
      <c r="AJ19" s="56" t="s">
        <v>283</v>
      </c>
      <c r="AK19" s="56"/>
      <c r="AL19" s="56"/>
      <c r="AM19" s="56"/>
      <c r="AN19" s="56"/>
      <c r="AO19" s="56"/>
      <c r="AP19" s="56">
        <v>0.5</v>
      </c>
      <c r="AQ19" s="56"/>
      <c r="AR19" s="56">
        <f t="shared" si="7"/>
        <v>0.5</v>
      </c>
      <c r="AS19" s="56" t="s">
        <v>284</v>
      </c>
      <c r="AT19" s="56"/>
      <c r="AU19" s="56"/>
      <c r="AV19" s="56"/>
      <c r="AW19" s="56"/>
      <c r="AX19" s="56">
        <v>0.3</v>
      </c>
      <c r="AY19" s="56">
        <v>0.5</v>
      </c>
      <c r="AZ19" s="56">
        <f t="shared" si="8"/>
        <v>0.8</v>
      </c>
      <c r="BA19" s="56"/>
      <c r="BB19" s="56" t="s">
        <v>285</v>
      </c>
      <c r="BC19" s="56">
        <v>0.5</v>
      </c>
      <c r="BD19" s="56"/>
      <c r="BE19" s="56">
        <v>1</v>
      </c>
      <c r="BF19" s="56">
        <v>1</v>
      </c>
      <c r="BG19" s="56"/>
      <c r="BH19" s="56">
        <v>0.3</v>
      </c>
      <c r="BI19" s="56"/>
      <c r="BJ19" s="56"/>
      <c r="BK19" s="56"/>
      <c r="BL19" s="56">
        <v>0.5</v>
      </c>
      <c r="BM19" s="56">
        <v>0.3</v>
      </c>
      <c r="BN19" s="56"/>
      <c r="BO19" s="56"/>
      <c r="BP19" s="56"/>
      <c r="BQ19" s="56">
        <v>0.8</v>
      </c>
      <c r="BR19" s="56"/>
      <c r="BS19" s="56"/>
      <c r="BT19" s="56"/>
      <c r="BU19" s="56"/>
      <c r="BV19" s="56"/>
      <c r="BW19" s="56"/>
      <c r="BX19" s="56"/>
      <c r="BY19" s="56">
        <v>1</v>
      </c>
      <c r="BZ19" s="56"/>
      <c r="CA19" s="56">
        <v>0.5</v>
      </c>
      <c r="CB19" s="56">
        <v>0.3</v>
      </c>
      <c r="CC19" s="56"/>
      <c r="CD19" s="56"/>
      <c r="CE19" s="56">
        <v>0.5</v>
      </c>
      <c r="CF19" s="56"/>
      <c r="CG19" s="56"/>
      <c r="CH19" s="56"/>
      <c r="CI19" s="56">
        <v>0.3</v>
      </c>
      <c r="CJ19" s="56"/>
      <c r="CK19" s="56"/>
      <c r="CL19" s="56"/>
      <c r="CM19" s="56"/>
      <c r="CN19" s="56"/>
      <c r="CO19" s="56"/>
      <c r="CP19" s="56"/>
      <c r="CQ19" s="56"/>
      <c r="CR19" s="56">
        <v>0.2</v>
      </c>
      <c r="CS19" s="56"/>
      <c r="CT19" s="56"/>
      <c r="CU19" s="56"/>
      <c r="CV19" s="56">
        <f t="shared" si="9"/>
        <v>7.2</v>
      </c>
      <c r="CW19" s="56">
        <f t="shared" si="10"/>
        <v>4</v>
      </c>
      <c r="CX19" s="56">
        <f t="shared" si="11"/>
        <v>3.2</v>
      </c>
      <c r="CY19" s="56">
        <f t="shared" si="12"/>
        <v>5.3</v>
      </c>
      <c r="CZ19" s="60" t="s">
        <v>37</v>
      </c>
      <c r="DA19" s="60">
        <v>2513200119</v>
      </c>
      <c r="DB19" s="60">
        <v>10</v>
      </c>
      <c r="DC19" s="61">
        <f t="shared" si="13"/>
        <v>56.75</v>
      </c>
      <c r="DD19" s="60">
        <f t="shared" si="14"/>
        <v>1.2250000000000001</v>
      </c>
      <c r="DE19" s="60">
        <f t="shared" si="15"/>
        <v>5.3</v>
      </c>
      <c r="DF19" s="60">
        <f t="shared" si="16"/>
        <v>73.275000000000006</v>
      </c>
      <c r="DG19" s="60">
        <f t="shared" si="17"/>
        <v>14</v>
      </c>
      <c r="DH19" s="61">
        <f t="shared" si="18"/>
        <v>567.5</v>
      </c>
      <c r="DI19" s="60">
        <f t="shared" si="19"/>
        <v>13</v>
      </c>
    </row>
    <row r="20" spans="1:113" ht="15.65" customHeight="1">
      <c r="A20" s="42" t="s">
        <v>38</v>
      </c>
      <c r="B20" s="43">
        <v>2513200120</v>
      </c>
      <c r="C20" s="44" t="s">
        <v>279</v>
      </c>
      <c r="D20" s="45">
        <v>79</v>
      </c>
      <c r="E20" s="45">
        <v>82</v>
      </c>
      <c r="F20" s="45">
        <v>60.5</v>
      </c>
      <c r="G20" s="45">
        <v>71</v>
      </c>
      <c r="H20" s="45">
        <v>72</v>
      </c>
      <c r="I20" s="45">
        <v>87.5</v>
      </c>
      <c r="J20" s="45">
        <v>79</v>
      </c>
      <c r="K20" s="45">
        <v>82.5</v>
      </c>
      <c r="L20" s="48">
        <f t="shared" si="0"/>
        <v>75.857142857142904</v>
      </c>
      <c r="M20" s="44">
        <f t="shared" si="1"/>
        <v>29</v>
      </c>
      <c r="N20" s="49">
        <v>37</v>
      </c>
      <c r="O20" s="44">
        <f t="shared" si="20"/>
        <v>8</v>
      </c>
      <c r="P20" s="48">
        <f t="shared" si="2"/>
        <v>53.1</v>
      </c>
      <c r="Q20" s="44"/>
      <c r="R20" s="44">
        <f t="shared" si="3"/>
        <v>0</v>
      </c>
      <c r="S20" s="44"/>
      <c r="T20" s="44"/>
      <c r="U20" s="44"/>
      <c r="V20" s="48">
        <f t="shared" si="4"/>
        <v>53.1</v>
      </c>
      <c r="W20" s="44">
        <f t="shared" si="5"/>
        <v>30</v>
      </c>
      <c r="X20" s="53" t="s">
        <v>280</v>
      </c>
      <c r="Y20" s="54">
        <v>82.5</v>
      </c>
      <c r="Z20" s="53">
        <f t="shared" si="6"/>
        <v>1.125</v>
      </c>
      <c r="AA20" s="55" t="s">
        <v>281</v>
      </c>
      <c r="AB20" s="55">
        <v>4</v>
      </c>
      <c r="AC20" s="55">
        <v>4</v>
      </c>
      <c r="AD20" s="55">
        <v>2</v>
      </c>
      <c r="AE20" s="55"/>
      <c r="AF20" s="55"/>
      <c r="AG20" s="55">
        <v>10</v>
      </c>
      <c r="AH20" s="56" t="s">
        <v>282</v>
      </c>
      <c r="AI20" s="56"/>
      <c r="AJ20" s="56" t="s">
        <v>283</v>
      </c>
      <c r="AK20" s="56"/>
      <c r="AL20" s="56"/>
      <c r="AM20" s="56"/>
      <c r="AN20" s="56"/>
      <c r="AO20" s="56"/>
      <c r="AP20" s="56">
        <v>0.5</v>
      </c>
      <c r="AQ20" s="56"/>
      <c r="AR20" s="56">
        <f t="shared" si="7"/>
        <v>0.5</v>
      </c>
      <c r="AS20" s="56" t="s">
        <v>284</v>
      </c>
      <c r="AT20" s="56"/>
      <c r="AU20" s="56"/>
      <c r="AV20" s="56"/>
      <c r="AW20" s="56"/>
      <c r="AX20" s="56"/>
      <c r="AY20" s="56"/>
      <c r="AZ20" s="56">
        <f t="shared" si="8"/>
        <v>0</v>
      </c>
      <c r="BA20" s="56"/>
      <c r="BB20" s="56" t="s">
        <v>285</v>
      </c>
      <c r="BC20" s="56"/>
      <c r="BD20" s="56"/>
      <c r="BE20" s="56">
        <v>0.9</v>
      </c>
      <c r="BF20" s="56"/>
      <c r="BG20" s="56"/>
      <c r="BH20" s="56"/>
      <c r="BI20" s="56"/>
      <c r="BJ20" s="56"/>
      <c r="BK20" s="56"/>
      <c r="BL20" s="56">
        <v>0.5</v>
      </c>
      <c r="BM20" s="56"/>
      <c r="BN20" s="56"/>
      <c r="BO20" s="56">
        <v>0.5</v>
      </c>
      <c r="BP20" s="56"/>
      <c r="BQ20" s="56"/>
      <c r="BR20" s="56"/>
      <c r="BS20" s="56"/>
      <c r="BT20" s="56">
        <v>1</v>
      </c>
      <c r="BU20" s="56"/>
      <c r="BV20" s="56"/>
      <c r="BW20" s="56"/>
      <c r="BX20" s="56"/>
      <c r="BY20" s="56"/>
      <c r="BZ20" s="56"/>
      <c r="CA20" s="56">
        <v>0.5</v>
      </c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>
        <v>0.2</v>
      </c>
      <c r="CS20" s="56"/>
      <c r="CT20" s="56"/>
      <c r="CU20" s="56"/>
      <c r="CV20" s="56">
        <f t="shared" si="9"/>
        <v>3.6</v>
      </c>
      <c r="CW20" s="56">
        <f t="shared" si="10"/>
        <v>3.6</v>
      </c>
      <c r="CX20" s="56">
        <f t="shared" si="11"/>
        <v>0</v>
      </c>
      <c r="CY20" s="56">
        <f t="shared" si="12"/>
        <v>4.0999999999999996</v>
      </c>
      <c r="CZ20" s="60" t="s">
        <v>38</v>
      </c>
      <c r="DA20" s="60">
        <v>2513200120</v>
      </c>
      <c r="DB20" s="60">
        <v>10</v>
      </c>
      <c r="DC20" s="61">
        <f t="shared" si="13"/>
        <v>53.1</v>
      </c>
      <c r="DD20" s="60">
        <f t="shared" si="14"/>
        <v>1.125</v>
      </c>
      <c r="DE20" s="60">
        <f t="shared" si="15"/>
        <v>4.0999999999999996</v>
      </c>
      <c r="DF20" s="60">
        <f t="shared" si="16"/>
        <v>68.325000000000003</v>
      </c>
      <c r="DG20" s="60">
        <f t="shared" si="17"/>
        <v>27</v>
      </c>
      <c r="DH20" s="61">
        <f t="shared" si="18"/>
        <v>531</v>
      </c>
      <c r="DI20" s="60">
        <f t="shared" si="19"/>
        <v>29</v>
      </c>
    </row>
    <row r="21" spans="1:113" ht="15.65" customHeight="1">
      <c r="A21" s="42" t="s">
        <v>39</v>
      </c>
      <c r="B21" s="43">
        <v>2513200121</v>
      </c>
      <c r="C21" s="44" t="s">
        <v>279</v>
      </c>
      <c r="D21" s="45">
        <v>93</v>
      </c>
      <c r="E21" s="45">
        <v>95</v>
      </c>
      <c r="F21" s="45">
        <v>74.5</v>
      </c>
      <c r="G21" s="45">
        <v>80</v>
      </c>
      <c r="H21" s="45">
        <v>83</v>
      </c>
      <c r="I21" s="45">
        <v>84.5</v>
      </c>
      <c r="J21" s="45">
        <v>81.5</v>
      </c>
      <c r="K21" s="45">
        <v>87.5</v>
      </c>
      <c r="L21" s="48">
        <f t="shared" si="0"/>
        <v>84.5</v>
      </c>
      <c r="M21" s="44">
        <f t="shared" si="1"/>
        <v>5</v>
      </c>
      <c r="N21" s="49">
        <v>7</v>
      </c>
      <c r="O21" s="44">
        <f t="shared" si="20"/>
        <v>2</v>
      </c>
      <c r="P21" s="48">
        <f t="shared" si="2"/>
        <v>59.15</v>
      </c>
      <c r="Q21" s="44"/>
      <c r="R21" s="44">
        <f t="shared" si="3"/>
        <v>0</v>
      </c>
      <c r="S21" s="44"/>
      <c r="T21" s="44">
        <v>0.5</v>
      </c>
      <c r="U21" s="44"/>
      <c r="V21" s="48">
        <f t="shared" si="4"/>
        <v>59.65</v>
      </c>
      <c r="W21" s="44">
        <f t="shared" si="5"/>
        <v>6</v>
      </c>
      <c r="X21" s="53" t="s">
        <v>280</v>
      </c>
      <c r="Y21" s="54">
        <v>87.5</v>
      </c>
      <c r="Z21" s="53">
        <f t="shared" si="6"/>
        <v>1.375</v>
      </c>
      <c r="AA21" s="55" t="s">
        <v>281</v>
      </c>
      <c r="AB21" s="55">
        <v>4</v>
      </c>
      <c r="AC21" s="55">
        <v>4</v>
      </c>
      <c r="AD21" s="55">
        <v>2</v>
      </c>
      <c r="AE21" s="55"/>
      <c r="AF21" s="55"/>
      <c r="AG21" s="55">
        <v>10</v>
      </c>
      <c r="AH21" s="56" t="s">
        <v>282</v>
      </c>
      <c r="AI21" s="56">
        <v>1</v>
      </c>
      <c r="AJ21" s="56" t="s">
        <v>283</v>
      </c>
      <c r="AK21" s="56">
        <v>2.5</v>
      </c>
      <c r="AL21" s="56"/>
      <c r="AM21" s="56"/>
      <c r="AN21" s="56"/>
      <c r="AO21" s="56"/>
      <c r="AP21" s="56">
        <v>0.5</v>
      </c>
      <c r="AQ21" s="56">
        <v>1.5</v>
      </c>
      <c r="AR21" s="56">
        <f t="shared" si="7"/>
        <v>4.5</v>
      </c>
      <c r="AS21" s="56" t="s">
        <v>284</v>
      </c>
      <c r="AT21" s="56">
        <v>2</v>
      </c>
      <c r="AU21" s="56"/>
      <c r="AV21" s="56"/>
      <c r="AW21" s="56"/>
      <c r="AX21" s="56"/>
      <c r="AY21" s="56">
        <v>0.5</v>
      </c>
      <c r="AZ21" s="56">
        <f t="shared" si="8"/>
        <v>2.5</v>
      </c>
      <c r="BA21" s="56"/>
      <c r="BB21" s="56" t="s">
        <v>285</v>
      </c>
      <c r="BC21" s="56"/>
      <c r="BD21" s="56">
        <v>1.8</v>
      </c>
      <c r="BE21" s="56"/>
      <c r="BF21" s="56"/>
      <c r="BG21" s="56">
        <v>0.5</v>
      </c>
      <c r="BH21" s="56">
        <v>0.3</v>
      </c>
      <c r="BI21" s="56">
        <v>0.3</v>
      </c>
      <c r="BJ21" s="56"/>
      <c r="BK21" s="56"/>
      <c r="BL21" s="56"/>
      <c r="BM21" s="56">
        <v>0.3</v>
      </c>
      <c r="BN21" s="56">
        <v>0.8</v>
      </c>
      <c r="BO21" s="56">
        <v>0.5</v>
      </c>
      <c r="BP21" s="56">
        <v>0.3</v>
      </c>
      <c r="BQ21" s="56"/>
      <c r="BR21" s="56"/>
      <c r="BS21" s="56"/>
      <c r="BT21" s="56"/>
      <c r="BU21" s="56">
        <v>0.5</v>
      </c>
      <c r="BV21" s="56">
        <v>0.6</v>
      </c>
      <c r="BW21" s="56"/>
      <c r="BX21" s="56"/>
      <c r="BY21" s="56">
        <v>1</v>
      </c>
      <c r="BZ21" s="56"/>
      <c r="CA21" s="56">
        <v>0.5</v>
      </c>
      <c r="CB21" s="56">
        <v>0.3</v>
      </c>
      <c r="CC21" s="56"/>
      <c r="CD21" s="56"/>
      <c r="CE21" s="56"/>
      <c r="CF21" s="56"/>
      <c r="CG21" s="56">
        <v>0.5</v>
      </c>
      <c r="CH21" s="56">
        <v>0.6</v>
      </c>
      <c r="CI21" s="56">
        <v>0.3</v>
      </c>
      <c r="CJ21" s="56"/>
      <c r="CK21" s="56"/>
      <c r="CL21" s="56"/>
      <c r="CM21" s="56"/>
      <c r="CN21" s="56">
        <v>0.3</v>
      </c>
      <c r="CO21" s="56"/>
      <c r="CP21" s="56"/>
      <c r="CQ21" s="56"/>
      <c r="CR21" s="56">
        <v>1</v>
      </c>
      <c r="CS21" s="56"/>
      <c r="CT21" s="56">
        <v>0.3</v>
      </c>
      <c r="CU21" s="56"/>
      <c r="CV21" s="56">
        <f t="shared" si="9"/>
        <v>10.7</v>
      </c>
      <c r="CW21" s="56">
        <f t="shared" si="10"/>
        <v>4</v>
      </c>
      <c r="CX21" s="56">
        <f t="shared" si="11"/>
        <v>6.7</v>
      </c>
      <c r="CY21" s="56">
        <f t="shared" si="12"/>
        <v>12</v>
      </c>
      <c r="CZ21" s="60" t="s">
        <v>39</v>
      </c>
      <c r="DA21" s="60">
        <v>2513200121</v>
      </c>
      <c r="DB21" s="60">
        <v>10</v>
      </c>
      <c r="DC21" s="61">
        <f t="shared" si="13"/>
        <v>59.65</v>
      </c>
      <c r="DD21" s="60">
        <f t="shared" si="14"/>
        <v>1.375</v>
      </c>
      <c r="DE21" s="60">
        <f t="shared" si="15"/>
        <v>12</v>
      </c>
      <c r="DF21" s="60">
        <f t="shared" si="16"/>
        <v>83.025000000000006</v>
      </c>
      <c r="DG21" s="60">
        <f t="shared" si="17"/>
        <v>4</v>
      </c>
      <c r="DH21" s="61">
        <f t="shared" si="18"/>
        <v>591.5</v>
      </c>
      <c r="DI21" s="60">
        <f t="shared" si="19"/>
        <v>5</v>
      </c>
    </row>
    <row r="22" spans="1:113" ht="15.65" customHeight="1">
      <c r="A22" s="42" t="s">
        <v>40</v>
      </c>
      <c r="B22" s="43">
        <v>2513200122</v>
      </c>
      <c r="C22" s="44" t="s">
        <v>279</v>
      </c>
      <c r="D22" s="45">
        <v>94</v>
      </c>
      <c r="E22" s="45">
        <v>85.5</v>
      </c>
      <c r="F22" s="45">
        <v>73</v>
      </c>
      <c r="G22" s="45">
        <v>87.5</v>
      </c>
      <c r="H22" s="45">
        <v>80.5</v>
      </c>
      <c r="I22" s="45">
        <v>82</v>
      </c>
      <c r="J22" s="45">
        <v>82</v>
      </c>
      <c r="K22" s="45">
        <v>87</v>
      </c>
      <c r="L22" s="48">
        <f t="shared" si="0"/>
        <v>83.5</v>
      </c>
      <c r="M22" s="44">
        <f t="shared" si="1"/>
        <v>7</v>
      </c>
      <c r="N22" s="49">
        <v>3</v>
      </c>
      <c r="O22" s="44">
        <v>0</v>
      </c>
      <c r="P22" s="48">
        <f t="shared" si="2"/>
        <v>58.45</v>
      </c>
      <c r="Q22" s="44"/>
      <c r="R22" s="44">
        <f t="shared" si="3"/>
        <v>0</v>
      </c>
      <c r="S22" s="44"/>
      <c r="T22" s="44">
        <v>0.5</v>
      </c>
      <c r="U22" s="44"/>
      <c r="V22" s="48">
        <f t="shared" si="4"/>
        <v>58.95</v>
      </c>
      <c r="W22" s="44">
        <f t="shared" si="5"/>
        <v>8</v>
      </c>
      <c r="X22" s="53" t="s">
        <v>280</v>
      </c>
      <c r="Y22" s="54">
        <v>87</v>
      </c>
      <c r="Z22" s="53">
        <f t="shared" si="6"/>
        <v>1.35</v>
      </c>
      <c r="AA22" s="55" t="s">
        <v>281</v>
      </c>
      <c r="AB22" s="55">
        <v>4</v>
      </c>
      <c r="AC22" s="55">
        <v>4</v>
      </c>
      <c r="AD22" s="55">
        <v>2</v>
      </c>
      <c r="AE22" s="55"/>
      <c r="AF22" s="55"/>
      <c r="AG22" s="55">
        <v>10</v>
      </c>
      <c r="AH22" s="56" t="s">
        <v>282</v>
      </c>
      <c r="AI22" s="56">
        <v>1</v>
      </c>
      <c r="AJ22" s="56" t="s">
        <v>283</v>
      </c>
      <c r="AK22" s="56"/>
      <c r="AL22" s="56"/>
      <c r="AM22" s="56"/>
      <c r="AN22" s="56"/>
      <c r="AO22" s="56"/>
      <c r="AP22" s="56">
        <v>0.5</v>
      </c>
      <c r="AQ22" s="56"/>
      <c r="AR22" s="56">
        <f t="shared" si="7"/>
        <v>0.5</v>
      </c>
      <c r="AS22" s="56" t="s">
        <v>284</v>
      </c>
      <c r="AT22" s="56">
        <v>2</v>
      </c>
      <c r="AU22" s="56"/>
      <c r="AV22" s="56"/>
      <c r="AW22" s="56">
        <v>0.5</v>
      </c>
      <c r="AX22" s="56"/>
      <c r="AY22" s="56">
        <v>0.5</v>
      </c>
      <c r="AZ22" s="56">
        <f t="shared" si="8"/>
        <v>3</v>
      </c>
      <c r="BA22" s="56"/>
      <c r="BB22" s="56" t="s">
        <v>285</v>
      </c>
      <c r="BC22" s="56"/>
      <c r="BD22" s="56"/>
      <c r="BE22" s="56"/>
      <c r="BF22" s="56"/>
      <c r="BG22" s="56"/>
      <c r="BH22" s="56">
        <v>0.3</v>
      </c>
      <c r="BI22" s="56">
        <v>0.3</v>
      </c>
      <c r="BJ22" s="56"/>
      <c r="BK22" s="56"/>
      <c r="BL22" s="56"/>
      <c r="BM22" s="56">
        <v>0.3</v>
      </c>
      <c r="BN22" s="56">
        <v>0.8</v>
      </c>
      <c r="BO22" s="56">
        <v>0.5</v>
      </c>
      <c r="BP22" s="56">
        <v>0.3</v>
      </c>
      <c r="BQ22" s="56"/>
      <c r="BR22" s="56"/>
      <c r="BS22" s="56"/>
      <c r="BT22" s="56"/>
      <c r="BU22" s="56"/>
      <c r="BV22" s="56"/>
      <c r="BW22" s="56"/>
      <c r="BX22" s="56"/>
      <c r="BY22" s="56">
        <v>1</v>
      </c>
      <c r="BZ22" s="56"/>
      <c r="CA22" s="56">
        <v>0.5</v>
      </c>
      <c r="CB22" s="56">
        <v>0.3</v>
      </c>
      <c r="CC22" s="56"/>
      <c r="CD22" s="56"/>
      <c r="CE22" s="56"/>
      <c r="CF22" s="56"/>
      <c r="CG22" s="56"/>
      <c r="CH22" s="56">
        <v>0.3</v>
      </c>
      <c r="CI22" s="56"/>
      <c r="CJ22" s="56"/>
      <c r="CK22" s="56"/>
      <c r="CL22" s="56"/>
      <c r="CM22" s="56"/>
      <c r="CN22" s="56"/>
      <c r="CO22" s="56"/>
      <c r="CP22" s="56"/>
      <c r="CQ22" s="56"/>
      <c r="CR22" s="56">
        <v>0.2</v>
      </c>
      <c r="CS22" s="56">
        <v>0.5</v>
      </c>
      <c r="CT22" s="56"/>
      <c r="CU22" s="56"/>
      <c r="CV22" s="56">
        <f t="shared" si="9"/>
        <v>5.3</v>
      </c>
      <c r="CW22" s="56">
        <f t="shared" si="10"/>
        <v>4</v>
      </c>
      <c r="CX22" s="56">
        <f t="shared" si="11"/>
        <v>1.3</v>
      </c>
      <c r="CY22" s="56">
        <f t="shared" si="12"/>
        <v>8.5</v>
      </c>
      <c r="CZ22" s="60" t="s">
        <v>40</v>
      </c>
      <c r="DA22" s="60">
        <v>2513200122</v>
      </c>
      <c r="DB22" s="60">
        <v>10</v>
      </c>
      <c r="DC22" s="61">
        <f t="shared" si="13"/>
        <v>58.95</v>
      </c>
      <c r="DD22" s="60">
        <f t="shared" si="14"/>
        <v>1.35</v>
      </c>
      <c r="DE22" s="60">
        <f t="shared" si="15"/>
        <v>8.5</v>
      </c>
      <c r="DF22" s="60">
        <f t="shared" si="16"/>
        <v>78.8</v>
      </c>
      <c r="DG22" s="60">
        <f t="shared" si="17"/>
        <v>7</v>
      </c>
      <c r="DH22" s="61">
        <f t="shared" si="18"/>
        <v>584.5</v>
      </c>
      <c r="DI22" s="60">
        <f t="shared" si="19"/>
        <v>7</v>
      </c>
    </row>
    <row r="23" spans="1:113" ht="15.65" customHeight="1">
      <c r="A23" s="42" t="s">
        <v>41</v>
      </c>
      <c r="B23" s="43">
        <v>2513200123</v>
      </c>
      <c r="C23" s="44" t="s">
        <v>279</v>
      </c>
      <c r="D23" s="45">
        <v>85</v>
      </c>
      <c r="E23" s="45">
        <v>74</v>
      </c>
      <c r="F23" s="45">
        <v>60</v>
      </c>
      <c r="G23" s="45">
        <v>60.5</v>
      </c>
      <c r="H23" s="45">
        <v>69</v>
      </c>
      <c r="I23" s="45">
        <v>83.5</v>
      </c>
      <c r="J23" s="45">
        <v>77</v>
      </c>
      <c r="K23" s="45">
        <v>68</v>
      </c>
      <c r="L23" s="48">
        <f t="shared" si="0"/>
        <v>72.714285714285694</v>
      </c>
      <c r="M23" s="44">
        <f t="shared" si="1"/>
        <v>35</v>
      </c>
      <c r="N23" s="49">
        <v>26</v>
      </c>
      <c r="O23" s="44">
        <v>0</v>
      </c>
      <c r="P23" s="48">
        <f t="shared" si="2"/>
        <v>50.9</v>
      </c>
      <c r="Q23" s="44"/>
      <c r="R23" s="44">
        <f t="shared" si="3"/>
        <v>0</v>
      </c>
      <c r="S23" s="44"/>
      <c r="T23" s="44"/>
      <c r="U23" s="44"/>
      <c r="V23" s="48">
        <f t="shared" si="4"/>
        <v>50.9</v>
      </c>
      <c r="W23" s="44">
        <f t="shared" si="5"/>
        <v>33</v>
      </c>
      <c r="X23" s="53" t="s">
        <v>280</v>
      </c>
      <c r="Y23" s="54">
        <v>68</v>
      </c>
      <c r="Z23" s="53">
        <f t="shared" si="6"/>
        <v>0.4</v>
      </c>
      <c r="AA23" s="55" t="s">
        <v>281</v>
      </c>
      <c r="AB23" s="55">
        <v>4</v>
      </c>
      <c r="AC23" s="55">
        <v>4</v>
      </c>
      <c r="AD23" s="55">
        <v>2</v>
      </c>
      <c r="AE23" s="55"/>
      <c r="AF23" s="55"/>
      <c r="AG23" s="55">
        <v>10</v>
      </c>
      <c r="AH23" s="56" t="s">
        <v>282</v>
      </c>
      <c r="AI23" s="56"/>
      <c r="AJ23" s="56" t="s">
        <v>283</v>
      </c>
      <c r="AK23" s="56"/>
      <c r="AL23" s="56"/>
      <c r="AM23" s="56"/>
      <c r="AN23" s="56"/>
      <c r="AO23" s="56"/>
      <c r="AP23" s="56">
        <v>0.5</v>
      </c>
      <c r="AQ23" s="56"/>
      <c r="AR23" s="56">
        <f t="shared" si="7"/>
        <v>0.5</v>
      </c>
      <c r="AS23" s="56" t="s">
        <v>284</v>
      </c>
      <c r="AT23" s="56"/>
      <c r="AU23" s="56"/>
      <c r="AV23" s="56"/>
      <c r="AW23" s="56"/>
      <c r="AX23" s="56"/>
      <c r="AY23" s="56"/>
      <c r="AZ23" s="56">
        <f t="shared" si="8"/>
        <v>0</v>
      </c>
      <c r="BA23" s="56"/>
      <c r="BB23" s="56" t="s">
        <v>285</v>
      </c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>
        <v>0.2</v>
      </c>
      <c r="CS23" s="56"/>
      <c r="CT23" s="56"/>
      <c r="CU23" s="56"/>
      <c r="CV23" s="56">
        <f t="shared" si="9"/>
        <v>0.2</v>
      </c>
      <c r="CW23" s="56">
        <f t="shared" si="10"/>
        <v>0.2</v>
      </c>
      <c r="CX23" s="56">
        <f t="shared" si="11"/>
        <v>0</v>
      </c>
      <c r="CY23" s="56">
        <f t="shared" si="12"/>
        <v>0.7</v>
      </c>
      <c r="CZ23" s="60" t="s">
        <v>41</v>
      </c>
      <c r="DA23" s="60">
        <v>2513200123</v>
      </c>
      <c r="DB23" s="60">
        <v>10</v>
      </c>
      <c r="DC23" s="61">
        <f t="shared" si="13"/>
        <v>50.9</v>
      </c>
      <c r="DD23" s="60">
        <f t="shared" si="14"/>
        <v>0.4</v>
      </c>
      <c r="DE23" s="60">
        <f t="shared" si="15"/>
        <v>0.7</v>
      </c>
      <c r="DF23" s="60">
        <f t="shared" si="16"/>
        <v>62</v>
      </c>
      <c r="DG23" s="60">
        <f t="shared" si="17"/>
        <v>42</v>
      </c>
      <c r="DH23" s="61">
        <f t="shared" si="18"/>
        <v>509</v>
      </c>
      <c r="DI23" s="60">
        <f t="shared" si="19"/>
        <v>35</v>
      </c>
    </row>
    <row r="24" spans="1:113" ht="15.65" customHeight="1">
      <c r="A24" s="42" t="s">
        <v>42</v>
      </c>
      <c r="B24" s="43">
        <v>2513200124</v>
      </c>
      <c r="C24" s="44" t="s">
        <v>279</v>
      </c>
      <c r="D24" s="45">
        <v>80</v>
      </c>
      <c r="E24" s="45">
        <v>70</v>
      </c>
      <c r="F24" s="45">
        <v>58</v>
      </c>
      <c r="G24" s="45">
        <v>71.5</v>
      </c>
      <c r="H24" s="45">
        <v>54.5</v>
      </c>
      <c r="I24" s="45">
        <v>74</v>
      </c>
      <c r="J24" s="45">
        <v>80</v>
      </c>
      <c r="K24" s="45">
        <v>80</v>
      </c>
      <c r="L24" s="48">
        <f t="shared" si="0"/>
        <v>69.714285714285694</v>
      </c>
      <c r="M24" s="44">
        <f t="shared" si="1"/>
        <v>45</v>
      </c>
      <c r="N24" s="49">
        <v>26</v>
      </c>
      <c r="O24" s="44">
        <v>0</v>
      </c>
      <c r="P24" s="48">
        <f t="shared" si="2"/>
        <v>48.8</v>
      </c>
      <c r="Q24" s="44">
        <v>2</v>
      </c>
      <c r="R24" s="44">
        <f t="shared" si="3"/>
        <v>1</v>
      </c>
      <c r="S24" s="44"/>
      <c r="T24" s="44"/>
      <c r="U24" s="44"/>
      <c r="V24" s="48">
        <f t="shared" si="4"/>
        <v>47.8</v>
      </c>
      <c r="W24" s="44">
        <f t="shared" si="5"/>
        <v>45</v>
      </c>
      <c r="X24" s="53" t="s">
        <v>280</v>
      </c>
      <c r="Y24" s="54">
        <v>80</v>
      </c>
      <c r="Z24" s="53">
        <f t="shared" si="6"/>
        <v>1</v>
      </c>
      <c r="AA24" s="55" t="s">
        <v>281</v>
      </c>
      <c r="AB24" s="55">
        <v>4</v>
      </c>
      <c r="AC24" s="55">
        <v>4</v>
      </c>
      <c r="AD24" s="55">
        <v>2</v>
      </c>
      <c r="AE24" s="55"/>
      <c r="AF24" s="55"/>
      <c r="AG24" s="55">
        <v>10</v>
      </c>
      <c r="AH24" s="56" t="s">
        <v>282</v>
      </c>
      <c r="AI24" s="56"/>
      <c r="AJ24" s="56" t="s">
        <v>283</v>
      </c>
      <c r="AK24" s="56"/>
      <c r="AL24" s="56"/>
      <c r="AM24" s="56"/>
      <c r="AN24" s="56"/>
      <c r="AO24" s="56"/>
      <c r="AP24" s="56"/>
      <c r="AQ24" s="56"/>
      <c r="AR24" s="56">
        <f t="shared" si="7"/>
        <v>0</v>
      </c>
      <c r="AS24" s="56" t="s">
        <v>284</v>
      </c>
      <c r="AT24" s="56"/>
      <c r="AU24" s="56"/>
      <c r="AV24" s="56"/>
      <c r="AW24" s="56"/>
      <c r="AX24" s="56"/>
      <c r="AY24" s="56">
        <v>0.5</v>
      </c>
      <c r="AZ24" s="56">
        <f t="shared" si="8"/>
        <v>0.5</v>
      </c>
      <c r="BA24" s="56"/>
      <c r="BB24" s="56" t="s">
        <v>285</v>
      </c>
      <c r="BC24" s="56"/>
      <c r="BD24" s="56"/>
      <c r="BE24" s="56">
        <v>0.9</v>
      </c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>
        <v>1</v>
      </c>
      <c r="BU24" s="56"/>
      <c r="BV24" s="56"/>
      <c r="BW24" s="56"/>
      <c r="BX24" s="56"/>
      <c r="BY24" s="56">
        <v>1</v>
      </c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>
        <v>0.2</v>
      </c>
      <c r="CS24" s="56"/>
      <c r="CT24" s="56"/>
      <c r="CU24" s="56"/>
      <c r="CV24" s="56">
        <f t="shared" si="9"/>
        <v>3.1</v>
      </c>
      <c r="CW24" s="56">
        <f t="shared" si="10"/>
        <v>3.1</v>
      </c>
      <c r="CX24" s="56">
        <f t="shared" si="11"/>
        <v>0</v>
      </c>
      <c r="CY24" s="56">
        <f t="shared" si="12"/>
        <v>3.6</v>
      </c>
      <c r="CZ24" s="60" t="s">
        <v>42</v>
      </c>
      <c r="DA24" s="60">
        <v>2513200124</v>
      </c>
      <c r="DB24" s="60">
        <v>10</v>
      </c>
      <c r="DC24" s="61">
        <f t="shared" si="13"/>
        <v>47.8</v>
      </c>
      <c r="DD24" s="60">
        <f t="shared" si="14"/>
        <v>1</v>
      </c>
      <c r="DE24" s="60">
        <f t="shared" si="15"/>
        <v>3.6</v>
      </c>
      <c r="DF24" s="60">
        <f t="shared" si="16"/>
        <v>62.4</v>
      </c>
      <c r="DG24" s="60">
        <f t="shared" si="17"/>
        <v>40</v>
      </c>
      <c r="DH24" s="61">
        <f t="shared" si="18"/>
        <v>488</v>
      </c>
      <c r="DI24" s="60">
        <f t="shared" si="19"/>
        <v>45</v>
      </c>
    </row>
    <row r="25" spans="1:113" ht="15.65" customHeight="1">
      <c r="A25" s="42" t="s">
        <v>43</v>
      </c>
      <c r="B25" s="43">
        <v>2513200125</v>
      </c>
      <c r="C25" s="44" t="s">
        <v>279</v>
      </c>
      <c r="D25" s="45">
        <v>81</v>
      </c>
      <c r="E25" s="45">
        <v>72</v>
      </c>
      <c r="F25" s="45">
        <v>63</v>
      </c>
      <c r="G25" s="45">
        <v>57</v>
      </c>
      <c r="H25" s="45">
        <v>76.5</v>
      </c>
      <c r="I25" s="45">
        <v>72.5</v>
      </c>
      <c r="J25" s="45">
        <v>68</v>
      </c>
      <c r="K25" s="45">
        <v>82</v>
      </c>
      <c r="L25" s="48">
        <f t="shared" si="0"/>
        <v>70</v>
      </c>
      <c r="M25" s="44">
        <f t="shared" si="1"/>
        <v>44</v>
      </c>
      <c r="N25" s="49">
        <v>12</v>
      </c>
      <c r="O25" s="44">
        <v>0</v>
      </c>
      <c r="P25" s="50">
        <f t="shared" si="2"/>
        <v>49</v>
      </c>
      <c r="Q25" s="44">
        <v>1</v>
      </c>
      <c r="R25" s="44">
        <f t="shared" si="3"/>
        <v>0.5</v>
      </c>
      <c r="S25" s="44"/>
      <c r="T25" s="44"/>
      <c r="U25" s="44"/>
      <c r="V25" s="48">
        <f t="shared" si="4"/>
        <v>48.5</v>
      </c>
      <c r="W25" s="44">
        <f t="shared" si="5"/>
        <v>44</v>
      </c>
      <c r="X25" s="53" t="s">
        <v>280</v>
      </c>
      <c r="Y25" s="54">
        <v>82</v>
      </c>
      <c r="Z25" s="53">
        <f t="shared" si="6"/>
        <v>1.1000000000000001</v>
      </c>
      <c r="AA25" s="55" t="s">
        <v>281</v>
      </c>
      <c r="AB25" s="55">
        <v>4</v>
      </c>
      <c r="AC25" s="55">
        <v>4</v>
      </c>
      <c r="AD25" s="55">
        <v>2</v>
      </c>
      <c r="AE25" s="55"/>
      <c r="AF25" s="55"/>
      <c r="AG25" s="55">
        <v>10</v>
      </c>
      <c r="AH25" s="56" t="s">
        <v>282</v>
      </c>
      <c r="AI25" s="56">
        <v>1</v>
      </c>
      <c r="AJ25" s="56" t="s">
        <v>283</v>
      </c>
      <c r="AK25" s="56"/>
      <c r="AL25" s="56"/>
      <c r="AM25" s="56"/>
      <c r="AN25" s="56"/>
      <c r="AO25" s="56"/>
      <c r="AP25" s="56">
        <v>0.5</v>
      </c>
      <c r="AQ25" s="56"/>
      <c r="AR25" s="56">
        <f t="shared" si="7"/>
        <v>0.5</v>
      </c>
      <c r="AS25" s="56" t="s">
        <v>284</v>
      </c>
      <c r="AT25" s="56"/>
      <c r="AU25" s="56"/>
      <c r="AV25" s="56"/>
      <c r="AW25" s="56"/>
      <c r="AX25" s="56"/>
      <c r="AY25" s="56"/>
      <c r="AZ25" s="56">
        <f t="shared" si="8"/>
        <v>0</v>
      </c>
      <c r="BA25" s="56"/>
      <c r="BB25" s="56" t="s">
        <v>285</v>
      </c>
      <c r="BC25" s="56"/>
      <c r="BD25" s="56"/>
      <c r="BE25" s="56"/>
      <c r="BF25" s="56"/>
      <c r="BG25" s="56"/>
      <c r="BH25" s="56">
        <v>0.3</v>
      </c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>
        <v>0.2</v>
      </c>
      <c r="CS25" s="56"/>
      <c r="CT25" s="56"/>
      <c r="CU25" s="56"/>
      <c r="CV25" s="56">
        <f t="shared" si="9"/>
        <v>0.5</v>
      </c>
      <c r="CW25" s="56">
        <f t="shared" si="10"/>
        <v>0.5</v>
      </c>
      <c r="CX25" s="56">
        <f t="shared" si="11"/>
        <v>0</v>
      </c>
      <c r="CY25" s="56">
        <f t="shared" si="12"/>
        <v>2</v>
      </c>
      <c r="CZ25" s="60" t="s">
        <v>43</v>
      </c>
      <c r="DA25" s="60">
        <v>2513200125</v>
      </c>
      <c r="DB25" s="60">
        <v>10</v>
      </c>
      <c r="DC25" s="61">
        <f t="shared" si="13"/>
        <v>48.5</v>
      </c>
      <c r="DD25" s="60">
        <f t="shared" si="14"/>
        <v>1.1000000000000001</v>
      </c>
      <c r="DE25" s="60">
        <f t="shared" si="15"/>
        <v>2</v>
      </c>
      <c r="DF25" s="60">
        <f t="shared" si="16"/>
        <v>61.6</v>
      </c>
      <c r="DG25" s="60">
        <f t="shared" si="17"/>
        <v>43</v>
      </c>
      <c r="DH25" s="61">
        <f t="shared" si="18"/>
        <v>490</v>
      </c>
      <c r="DI25" s="60">
        <f t="shared" si="19"/>
        <v>44</v>
      </c>
    </row>
    <row r="26" spans="1:113" ht="15.65" customHeight="1">
      <c r="A26" s="42" t="s">
        <v>44</v>
      </c>
      <c r="B26" s="43">
        <v>2513200126</v>
      </c>
      <c r="C26" s="44" t="s">
        <v>279</v>
      </c>
      <c r="D26" s="45">
        <v>92</v>
      </c>
      <c r="E26" s="45">
        <v>87.5</v>
      </c>
      <c r="F26" s="45">
        <v>84.5</v>
      </c>
      <c r="G26" s="45">
        <v>82.5</v>
      </c>
      <c r="H26" s="45">
        <v>84</v>
      </c>
      <c r="I26" s="45">
        <v>84</v>
      </c>
      <c r="J26" s="45">
        <v>77</v>
      </c>
      <c r="K26" s="45">
        <v>82.5</v>
      </c>
      <c r="L26" s="48">
        <f t="shared" si="0"/>
        <v>84.5</v>
      </c>
      <c r="M26" s="44">
        <f t="shared" si="1"/>
        <v>5</v>
      </c>
      <c r="N26" s="49">
        <v>17</v>
      </c>
      <c r="O26" s="44">
        <f>N26-M26</f>
        <v>12</v>
      </c>
      <c r="P26" s="48">
        <f t="shared" si="2"/>
        <v>59.15</v>
      </c>
      <c r="Q26" s="44"/>
      <c r="R26" s="44">
        <f t="shared" si="3"/>
        <v>0</v>
      </c>
      <c r="S26" s="44"/>
      <c r="T26" s="44">
        <v>0.5</v>
      </c>
      <c r="U26" s="44">
        <v>1</v>
      </c>
      <c r="V26" s="48">
        <f t="shared" si="4"/>
        <v>60.65</v>
      </c>
      <c r="W26" s="44">
        <f t="shared" si="5"/>
        <v>4</v>
      </c>
      <c r="X26" s="53" t="s">
        <v>280</v>
      </c>
      <c r="Y26" s="54">
        <v>82.5</v>
      </c>
      <c r="Z26" s="53">
        <f t="shared" si="6"/>
        <v>1.125</v>
      </c>
      <c r="AA26" s="55" t="s">
        <v>281</v>
      </c>
      <c r="AB26" s="55">
        <v>4</v>
      </c>
      <c r="AC26" s="55">
        <v>4</v>
      </c>
      <c r="AD26" s="55">
        <v>2</v>
      </c>
      <c r="AE26" s="55"/>
      <c r="AF26" s="55"/>
      <c r="AG26" s="55">
        <v>10</v>
      </c>
      <c r="AH26" s="56" t="s">
        <v>282</v>
      </c>
      <c r="AI26" s="56">
        <v>1</v>
      </c>
      <c r="AJ26" s="56" t="s">
        <v>283</v>
      </c>
      <c r="AK26" s="56"/>
      <c r="AL26" s="56"/>
      <c r="AM26" s="56"/>
      <c r="AN26" s="56"/>
      <c r="AO26" s="56"/>
      <c r="AP26" s="56">
        <v>0.5</v>
      </c>
      <c r="AQ26" s="56"/>
      <c r="AR26" s="56">
        <f t="shared" si="7"/>
        <v>0.5</v>
      </c>
      <c r="AS26" s="56" t="s">
        <v>284</v>
      </c>
      <c r="AT26" s="56">
        <v>2</v>
      </c>
      <c r="AU26" s="56">
        <v>0.5</v>
      </c>
      <c r="AV26" s="56"/>
      <c r="AW26" s="56">
        <v>0.5</v>
      </c>
      <c r="AX26" s="56">
        <v>0.3</v>
      </c>
      <c r="AY26" s="56">
        <v>0.5</v>
      </c>
      <c r="AZ26" s="56">
        <v>3</v>
      </c>
      <c r="BA26" s="56">
        <v>0.8</v>
      </c>
      <c r="BB26" s="56" t="s">
        <v>285</v>
      </c>
      <c r="BC26" s="56"/>
      <c r="BD26" s="56"/>
      <c r="BE26" s="56">
        <v>1</v>
      </c>
      <c r="BF26" s="56">
        <v>1</v>
      </c>
      <c r="BG26" s="56"/>
      <c r="BH26" s="56"/>
      <c r="BI26" s="56"/>
      <c r="BJ26" s="56"/>
      <c r="BK26" s="56"/>
      <c r="BL26" s="56"/>
      <c r="BM26" s="56"/>
      <c r="BN26" s="56">
        <v>0.8</v>
      </c>
      <c r="BO26" s="56">
        <v>0.5</v>
      </c>
      <c r="BP26" s="56"/>
      <c r="BQ26" s="56">
        <v>0.8</v>
      </c>
      <c r="BR26" s="56"/>
      <c r="BS26" s="56"/>
      <c r="BT26" s="56">
        <v>1</v>
      </c>
      <c r="BU26" s="56">
        <v>0.5</v>
      </c>
      <c r="BV26" s="56"/>
      <c r="BW26" s="56"/>
      <c r="BX26" s="56"/>
      <c r="BY26" s="56">
        <v>1</v>
      </c>
      <c r="BZ26" s="56"/>
      <c r="CA26" s="56">
        <v>0.5</v>
      </c>
      <c r="CB26" s="56">
        <v>0.3</v>
      </c>
      <c r="CC26" s="56"/>
      <c r="CD26" s="56"/>
      <c r="CE26" s="56"/>
      <c r="CF26" s="56"/>
      <c r="CG26" s="56"/>
      <c r="CH26" s="56"/>
      <c r="CI26" s="56">
        <v>0.3</v>
      </c>
      <c r="CJ26" s="56"/>
      <c r="CK26" s="56"/>
      <c r="CL26" s="56"/>
      <c r="CM26" s="56"/>
      <c r="CN26" s="56"/>
      <c r="CO26" s="56"/>
      <c r="CP26" s="56"/>
      <c r="CQ26" s="56"/>
      <c r="CR26" s="56">
        <v>0.2</v>
      </c>
      <c r="CS26" s="56">
        <v>0.5</v>
      </c>
      <c r="CT26" s="56"/>
      <c r="CU26" s="56"/>
      <c r="CV26" s="56">
        <f t="shared" si="9"/>
        <v>8.4</v>
      </c>
      <c r="CW26" s="56">
        <f t="shared" si="10"/>
        <v>4</v>
      </c>
      <c r="CX26" s="56">
        <f t="shared" si="11"/>
        <v>4.4000000000000004</v>
      </c>
      <c r="CY26" s="56">
        <f t="shared" si="12"/>
        <v>8.5</v>
      </c>
      <c r="CZ26" s="60" t="s">
        <v>44</v>
      </c>
      <c r="DA26" s="60">
        <v>2513200126</v>
      </c>
      <c r="DB26" s="60">
        <v>10</v>
      </c>
      <c r="DC26" s="61">
        <f t="shared" si="13"/>
        <v>60.65</v>
      </c>
      <c r="DD26" s="60">
        <f t="shared" si="14"/>
        <v>1.125</v>
      </c>
      <c r="DE26" s="60">
        <f t="shared" si="15"/>
        <v>8.5</v>
      </c>
      <c r="DF26" s="60">
        <f t="shared" si="16"/>
        <v>80.275000000000006</v>
      </c>
      <c r="DG26" s="60">
        <f t="shared" si="17"/>
        <v>6</v>
      </c>
      <c r="DH26" s="61">
        <f t="shared" si="18"/>
        <v>591.5</v>
      </c>
      <c r="DI26" s="60">
        <f t="shared" si="19"/>
        <v>5</v>
      </c>
    </row>
    <row r="27" spans="1:113" ht="15.65" customHeight="1">
      <c r="A27" s="42" t="s">
        <v>45</v>
      </c>
      <c r="B27" s="43">
        <v>2513200127</v>
      </c>
      <c r="C27" s="44" t="s">
        <v>279</v>
      </c>
      <c r="D27" s="45">
        <v>65.5</v>
      </c>
      <c r="E27" s="45">
        <v>73.5</v>
      </c>
      <c r="F27" s="45">
        <v>56.5</v>
      </c>
      <c r="G27" s="45">
        <v>88.5</v>
      </c>
      <c r="H27" s="45">
        <v>61</v>
      </c>
      <c r="I27" s="45">
        <v>78</v>
      </c>
      <c r="J27" s="45">
        <v>72</v>
      </c>
      <c r="K27" s="45">
        <v>81.5</v>
      </c>
      <c r="L27" s="48">
        <f t="shared" si="0"/>
        <v>70.714285714285694</v>
      </c>
      <c r="M27" s="44">
        <f t="shared" si="1"/>
        <v>42</v>
      </c>
      <c r="N27" s="49">
        <v>45</v>
      </c>
      <c r="O27" s="44">
        <f>N27-M27</f>
        <v>3</v>
      </c>
      <c r="P27" s="51">
        <f t="shared" si="2"/>
        <v>49.5</v>
      </c>
      <c r="Q27" s="44">
        <v>1</v>
      </c>
      <c r="R27" s="44">
        <f t="shared" si="3"/>
        <v>0.5</v>
      </c>
      <c r="S27" s="44"/>
      <c r="T27" s="44"/>
      <c r="U27" s="44"/>
      <c r="V27" s="48">
        <f t="shared" si="4"/>
        <v>49</v>
      </c>
      <c r="W27" s="44">
        <f t="shared" si="5"/>
        <v>43</v>
      </c>
      <c r="X27" s="53" t="s">
        <v>280</v>
      </c>
      <c r="Y27" s="54">
        <v>81.5</v>
      </c>
      <c r="Z27" s="53">
        <f t="shared" si="6"/>
        <v>1.075</v>
      </c>
      <c r="AA27" s="55" t="s">
        <v>281</v>
      </c>
      <c r="AB27" s="55">
        <v>4</v>
      </c>
      <c r="AC27" s="55">
        <v>4</v>
      </c>
      <c r="AD27" s="55">
        <v>2</v>
      </c>
      <c r="AE27" s="55"/>
      <c r="AF27" s="55"/>
      <c r="AG27" s="55">
        <v>8</v>
      </c>
      <c r="AH27" s="56" t="s">
        <v>282</v>
      </c>
      <c r="AI27" s="56">
        <v>1</v>
      </c>
      <c r="AJ27" s="56" t="s">
        <v>283</v>
      </c>
      <c r="AK27" s="56"/>
      <c r="AL27" s="56"/>
      <c r="AM27" s="56"/>
      <c r="AN27" s="56"/>
      <c r="AO27" s="56"/>
      <c r="AP27" s="56">
        <v>2.5</v>
      </c>
      <c r="AQ27" s="56"/>
      <c r="AR27" s="56">
        <f t="shared" si="7"/>
        <v>2.5</v>
      </c>
      <c r="AS27" s="56" t="s">
        <v>284</v>
      </c>
      <c r="AT27" s="56"/>
      <c r="AU27" s="56"/>
      <c r="AV27" s="56"/>
      <c r="AW27" s="56"/>
      <c r="AX27" s="56"/>
      <c r="AY27" s="56"/>
      <c r="AZ27" s="56">
        <f t="shared" ref="AZ27:AZ35" si="21">SUM(AT27:AY27)</f>
        <v>0</v>
      </c>
      <c r="BA27" s="56"/>
      <c r="BB27" s="56" t="s">
        <v>285</v>
      </c>
      <c r="BC27" s="56"/>
      <c r="BD27" s="56"/>
      <c r="BE27" s="56">
        <v>0.9</v>
      </c>
      <c r="BF27" s="56"/>
      <c r="BG27" s="56"/>
      <c r="BH27" s="56">
        <v>0.3</v>
      </c>
      <c r="BI27" s="56"/>
      <c r="BJ27" s="56"/>
      <c r="BK27" s="56"/>
      <c r="BL27" s="56"/>
      <c r="BM27" s="56">
        <v>0.3</v>
      </c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>
        <v>0.3</v>
      </c>
      <c r="CO27" s="56"/>
      <c r="CP27" s="56"/>
      <c r="CQ27" s="56"/>
      <c r="CR27" s="56">
        <v>0.2</v>
      </c>
      <c r="CS27" s="56"/>
      <c r="CT27" s="56"/>
      <c r="CU27" s="56"/>
      <c r="CV27" s="56">
        <f t="shared" si="9"/>
        <v>2</v>
      </c>
      <c r="CW27" s="56">
        <f t="shared" si="10"/>
        <v>2</v>
      </c>
      <c r="CX27" s="56">
        <f t="shared" si="11"/>
        <v>0</v>
      </c>
      <c r="CY27" s="56">
        <f t="shared" si="12"/>
        <v>5.5</v>
      </c>
      <c r="CZ27" s="60" t="s">
        <v>45</v>
      </c>
      <c r="DA27" s="60">
        <v>2513200127</v>
      </c>
      <c r="DB27" s="60">
        <v>10</v>
      </c>
      <c r="DC27" s="61">
        <f t="shared" si="13"/>
        <v>49</v>
      </c>
      <c r="DD27" s="60">
        <f t="shared" si="14"/>
        <v>1.075</v>
      </c>
      <c r="DE27" s="60">
        <f t="shared" si="15"/>
        <v>5.5</v>
      </c>
      <c r="DF27" s="60">
        <f t="shared" si="16"/>
        <v>65.575000000000003</v>
      </c>
      <c r="DG27" s="60">
        <f t="shared" si="17"/>
        <v>36</v>
      </c>
      <c r="DH27" s="61">
        <f t="shared" si="18"/>
        <v>495</v>
      </c>
      <c r="DI27" s="60">
        <f t="shared" si="19"/>
        <v>42</v>
      </c>
    </row>
    <row r="28" spans="1:113" ht="15.65" customHeight="1">
      <c r="A28" s="42" t="s">
        <v>46</v>
      </c>
      <c r="B28" s="43">
        <v>2513200128</v>
      </c>
      <c r="C28" s="44" t="s">
        <v>279</v>
      </c>
      <c r="D28" s="45">
        <v>83</v>
      </c>
      <c r="E28" s="45">
        <v>73.5</v>
      </c>
      <c r="F28" s="45">
        <v>71</v>
      </c>
      <c r="G28" s="45">
        <v>89</v>
      </c>
      <c r="H28" s="45">
        <v>76.5</v>
      </c>
      <c r="I28" s="45">
        <v>87</v>
      </c>
      <c r="J28" s="45">
        <v>76</v>
      </c>
      <c r="K28" s="45">
        <v>74.5</v>
      </c>
      <c r="L28" s="48">
        <f t="shared" si="0"/>
        <v>79.428571428571402</v>
      </c>
      <c r="M28" s="44">
        <f t="shared" si="1"/>
        <v>19</v>
      </c>
      <c r="N28" s="49">
        <v>30</v>
      </c>
      <c r="O28" s="44">
        <f>N28-M28</f>
        <v>11</v>
      </c>
      <c r="P28" s="48">
        <f t="shared" si="2"/>
        <v>55.6</v>
      </c>
      <c r="Q28" s="44"/>
      <c r="R28" s="44">
        <f t="shared" si="3"/>
        <v>0</v>
      </c>
      <c r="S28" s="44"/>
      <c r="T28" s="44"/>
      <c r="U28" s="44">
        <v>1</v>
      </c>
      <c r="V28" s="48">
        <f t="shared" si="4"/>
        <v>56.6</v>
      </c>
      <c r="W28" s="44">
        <f t="shared" si="5"/>
        <v>16</v>
      </c>
      <c r="X28" s="53" t="s">
        <v>280</v>
      </c>
      <c r="Y28" s="54">
        <v>74.5</v>
      </c>
      <c r="Z28" s="53">
        <f t="shared" si="6"/>
        <v>0.72499999999999998</v>
      </c>
      <c r="AA28" s="55" t="s">
        <v>281</v>
      </c>
      <c r="AB28" s="55">
        <v>4</v>
      </c>
      <c r="AC28" s="55">
        <v>4</v>
      </c>
      <c r="AD28" s="55">
        <v>2</v>
      </c>
      <c r="AE28" s="55"/>
      <c r="AF28" s="55"/>
      <c r="AG28" s="55">
        <v>10</v>
      </c>
      <c r="AH28" s="56" t="s">
        <v>282</v>
      </c>
      <c r="AI28" s="56"/>
      <c r="AJ28" s="56" t="s">
        <v>283</v>
      </c>
      <c r="AK28" s="56"/>
      <c r="AL28" s="56"/>
      <c r="AM28" s="56"/>
      <c r="AN28" s="56"/>
      <c r="AO28" s="56"/>
      <c r="AP28" s="56">
        <v>0.5</v>
      </c>
      <c r="AQ28" s="56"/>
      <c r="AR28" s="56">
        <f t="shared" si="7"/>
        <v>0.5</v>
      </c>
      <c r="AS28" s="56" t="s">
        <v>284</v>
      </c>
      <c r="AT28" s="56"/>
      <c r="AU28" s="56"/>
      <c r="AV28" s="56"/>
      <c r="AW28" s="56"/>
      <c r="AX28" s="56"/>
      <c r="AY28" s="56">
        <v>0.5</v>
      </c>
      <c r="AZ28" s="56">
        <f t="shared" si="21"/>
        <v>0.5</v>
      </c>
      <c r="BA28" s="56"/>
      <c r="BB28" s="56" t="s">
        <v>285</v>
      </c>
      <c r="BC28" s="56"/>
      <c r="BD28" s="56"/>
      <c r="BE28" s="56"/>
      <c r="BF28" s="56"/>
      <c r="BG28" s="56"/>
      <c r="BH28" s="56">
        <v>0.3</v>
      </c>
      <c r="BI28" s="56"/>
      <c r="BJ28" s="56"/>
      <c r="BK28" s="56"/>
      <c r="BL28" s="56">
        <v>0.5</v>
      </c>
      <c r="BM28" s="56">
        <v>0.3</v>
      </c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>
        <v>0.5</v>
      </c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>
        <v>0.2</v>
      </c>
      <c r="CS28" s="56"/>
      <c r="CT28" s="56"/>
      <c r="CU28" s="56"/>
      <c r="CV28" s="56">
        <f t="shared" si="9"/>
        <v>1.8</v>
      </c>
      <c r="CW28" s="56">
        <f t="shared" si="10"/>
        <v>1.8</v>
      </c>
      <c r="CX28" s="56">
        <f t="shared" si="11"/>
        <v>0</v>
      </c>
      <c r="CY28" s="56">
        <f t="shared" si="12"/>
        <v>2.8</v>
      </c>
      <c r="CZ28" s="60" t="s">
        <v>46</v>
      </c>
      <c r="DA28" s="60">
        <v>2513200128</v>
      </c>
      <c r="DB28" s="60">
        <v>10</v>
      </c>
      <c r="DC28" s="61">
        <f t="shared" si="13"/>
        <v>56.6</v>
      </c>
      <c r="DD28" s="60">
        <f t="shared" si="14"/>
        <v>0.72499999999999998</v>
      </c>
      <c r="DE28" s="60">
        <f t="shared" si="15"/>
        <v>2.8</v>
      </c>
      <c r="DF28" s="60">
        <f t="shared" si="16"/>
        <v>70.125</v>
      </c>
      <c r="DG28" s="60">
        <f t="shared" si="17"/>
        <v>23</v>
      </c>
      <c r="DH28" s="61">
        <f t="shared" si="18"/>
        <v>556</v>
      </c>
      <c r="DI28" s="60">
        <f t="shared" si="19"/>
        <v>19</v>
      </c>
    </row>
    <row r="29" spans="1:113" ht="15.65" customHeight="1">
      <c r="A29" s="42" t="s">
        <v>47</v>
      </c>
      <c r="B29" s="43">
        <v>2513200129</v>
      </c>
      <c r="C29" s="44" t="s">
        <v>279</v>
      </c>
      <c r="D29" s="45">
        <v>91</v>
      </c>
      <c r="E29" s="45">
        <v>87</v>
      </c>
      <c r="F29" s="45">
        <v>78.5</v>
      </c>
      <c r="G29" s="45">
        <v>89.5</v>
      </c>
      <c r="H29" s="45">
        <v>86.5</v>
      </c>
      <c r="I29" s="45">
        <v>87.5</v>
      </c>
      <c r="J29" s="45">
        <v>79.5</v>
      </c>
      <c r="K29" s="45">
        <v>93.5</v>
      </c>
      <c r="L29" s="48">
        <f t="shared" si="0"/>
        <v>85.642857142857096</v>
      </c>
      <c r="M29" s="44">
        <f t="shared" si="1"/>
        <v>3</v>
      </c>
      <c r="N29" s="49">
        <v>2</v>
      </c>
      <c r="O29" s="44">
        <v>0</v>
      </c>
      <c r="P29" s="52">
        <f t="shared" si="2"/>
        <v>59.95</v>
      </c>
      <c r="Q29" s="44"/>
      <c r="R29" s="44">
        <f t="shared" si="3"/>
        <v>0</v>
      </c>
      <c r="S29" s="44">
        <v>0.5</v>
      </c>
      <c r="T29" s="44">
        <v>0.5</v>
      </c>
      <c r="U29" s="44"/>
      <c r="V29" s="48">
        <f t="shared" si="4"/>
        <v>60.95</v>
      </c>
      <c r="W29" s="44">
        <f t="shared" si="5"/>
        <v>3</v>
      </c>
      <c r="X29" s="53" t="s">
        <v>280</v>
      </c>
      <c r="Y29" s="54">
        <v>93.5</v>
      </c>
      <c r="Z29" s="53">
        <f t="shared" si="6"/>
        <v>1.675</v>
      </c>
      <c r="AA29" s="55" t="s">
        <v>281</v>
      </c>
      <c r="AB29" s="55">
        <v>4</v>
      </c>
      <c r="AC29" s="55">
        <v>4</v>
      </c>
      <c r="AD29" s="55">
        <v>2</v>
      </c>
      <c r="AE29" s="55"/>
      <c r="AF29" s="55"/>
      <c r="AG29" s="55">
        <v>10</v>
      </c>
      <c r="AH29" s="56" t="s">
        <v>282</v>
      </c>
      <c r="AI29" s="56"/>
      <c r="AJ29" s="56" t="s">
        <v>283</v>
      </c>
      <c r="AK29" s="56"/>
      <c r="AL29" s="56"/>
      <c r="AM29" s="56"/>
      <c r="AN29" s="56"/>
      <c r="AO29" s="56"/>
      <c r="AP29" s="56">
        <v>0.5</v>
      </c>
      <c r="AQ29" s="56"/>
      <c r="AR29" s="56">
        <f t="shared" si="7"/>
        <v>0.5</v>
      </c>
      <c r="AS29" s="56" t="s">
        <v>284</v>
      </c>
      <c r="AT29" s="56"/>
      <c r="AU29" s="56"/>
      <c r="AV29" s="56"/>
      <c r="AW29" s="56">
        <v>0.5</v>
      </c>
      <c r="AX29" s="56">
        <v>0.3</v>
      </c>
      <c r="AY29" s="56">
        <v>0.5</v>
      </c>
      <c r="AZ29" s="56">
        <f t="shared" si="21"/>
        <v>1.3</v>
      </c>
      <c r="BA29" s="56"/>
      <c r="BB29" s="56" t="s">
        <v>285</v>
      </c>
      <c r="BC29" s="56"/>
      <c r="BD29" s="56">
        <v>1.8</v>
      </c>
      <c r="BE29" s="56"/>
      <c r="BF29" s="56"/>
      <c r="BG29" s="56">
        <v>0.5</v>
      </c>
      <c r="BH29" s="56">
        <v>0.3</v>
      </c>
      <c r="BI29" s="56">
        <v>0.3</v>
      </c>
      <c r="BJ29" s="56"/>
      <c r="BK29" s="56"/>
      <c r="BL29" s="56"/>
      <c r="BM29" s="56"/>
      <c r="BN29" s="56"/>
      <c r="BO29" s="56"/>
      <c r="BP29" s="56"/>
      <c r="BQ29" s="56"/>
      <c r="BR29" s="56"/>
      <c r="BS29" s="56">
        <v>0.8</v>
      </c>
      <c r="BT29" s="56">
        <v>1</v>
      </c>
      <c r="BU29" s="56"/>
      <c r="BV29" s="56">
        <v>0.6</v>
      </c>
      <c r="BW29" s="56"/>
      <c r="BX29" s="56"/>
      <c r="BY29" s="56">
        <v>1</v>
      </c>
      <c r="BZ29" s="56"/>
      <c r="CA29" s="56">
        <v>0.5</v>
      </c>
      <c r="CB29" s="56">
        <v>0.3</v>
      </c>
      <c r="CC29" s="56"/>
      <c r="CD29" s="56">
        <v>1</v>
      </c>
      <c r="CE29" s="56">
        <v>0.5</v>
      </c>
      <c r="CF29" s="56">
        <v>0.5</v>
      </c>
      <c r="CG29" s="56">
        <v>0.5</v>
      </c>
      <c r="CH29" s="56">
        <v>0.6</v>
      </c>
      <c r="CI29" s="56"/>
      <c r="CJ29" s="56"/>
      <c r="CK29" s="56"/>
      <c r="CL29" s="56"/>
      <c r="CM29" s="56"/>
      <c r="CN29" s="56"/>
      <c r="CO29" s="56"/>
      <c r="CP29" s="56"/>
      <c r="CQ29" s="56"/>
      <c r="CR29" s="56">
        <v>0.2</v>
      </c>
      <c r="CS29" s="56"/>
      <c r="CT29" s="56"/>
      <c r="CU29" s="56"/>
      <c r="CV29" s="56">
        <f t="shared" si="9"/>
        <v>10.4</v>
      </c>
      <c r="CW29" s="56">
        <f t="shared" si="10"/>
        <v>4</v>
      </c>
      <c r="CX29" s="56">
        <f t="shared" si="11"/>
        <v>6.4</v>
      </c>
      <c r="CY29" s="56">
        <f t="shared" si="12"/>
        <v>5.8</v>
      </c>
      <c r="CZ29" s="60" t="s">
        <v>47</v>
      </c>
      <c r="DA29" s="60">
        <v>2513200129</v>
      </c>
      <c r="DB29" s="60">
        <v>10</v>
      </c>
      <c r="DC29" s="61">
        <f t="shared" si="13"/>
        <v>60.95</v>
      </c>
      <c r="DD29" s="60">
        <f t="shared" si="14"/>
        <v>1.675</v>
      </c>
      <c r="DE29" s="60">
        <f t="shared" si="15"/>
        <v>5.8</v>
      </c>
      <c r="DF29" s="60">
        <f t="shared" si="16"/>
        <v>78.424999999999997</v>
      </c>
      <c r="DG29" s="60">
        <f t="shared" si="17"/>
        <v>9</v>
      </c>
      <c r="DH29" s="61">
        <f t="shared" si="18"/>
        <v>599.5</v>
      </c>
      <c r="DI29" s="60">
        <f t="shared" si="19"/>
        <v>3</v>
      </c>
    </row>
    <row r="30" spans="1:113" ht="15.65" customHeight="1">
      <c r="A30" s="42" t="s">
        <v>48</v>
      </c>
      <c r="B30" s="43">
        <v>2513200130</v>
      </c>
      <c r="C30" s="44" t="s">
        <v>279</v>
      </c>
      <c r="D30" s="45">
        <v>71</v>
      </c>
      <c r="E30" s="45">
        <v>81</v>
      </c>
      <c r="F30" s="45">
        <v>75.5</v>
      </c>
      <c r="G30" s="45">
        <v>77</v>
      </c>
      <c r="H30" s="45">
        <v>76.5</v>
      </c>
      <c r="I30" s="45">
        <v>83</v>
      </c>
      <c r="J30" s="45">
        <v>78.5</v>
      </c>
      <c r="K30" s="45">
        <v>71</v>
      </c>
      <c r="L30" s="48">
        <f t="shared" si="0"/>
        <v>77.5</v>
      </c>
      <c r="M30" s="44">
        <f t="shared" si="1"/>
        <v>26</v>
      </c>
      <c r="N30" s="49">
        <v>19</v>
      </c>
      <c r="O30" s="44">
        <v>0</v>
      </c>
      <c r="P30" s="48">
        <f t="shared" si="2"/>
        <v>54.25</v>
      </c>
      <c r="Q30" s="44"/>
      <c r="R30" s="44">
        <f t="shared" si="3"/>
        <v>0</v>
      </c>
      <c r="S30" s="44"/>
      <c r="T30" s="44"/>
      <c r="U30" s="44"/>
      <c r="V30" s="48">
        <f t="shared" si="4"/>
        <v>54.25</v>
      </c>
      <c r="W30" s="44">
        <f t="shared" si="5"/>
        <v>26</v>
      </c>
      <c r="X30" s="53" t="s">
        <v>280</v>
      </c>
      <c r="Y30" s="54">
        <v>71</v>
      </c>
      <c r="Z30" s="53">
        <f t="shared" si="6"/>
        <v>0.55000000000000004</v>
      </c>
      <c r="AA30" s="55" t="s">
        <v>281</v>
      </c>
      <c r="AB30" s="55">
        <v>4</v>
      </c>
      <c r="AC30" s="55">
        <v>4</v>
      </c>
      <c r="AD30" s="55">
        <v>2</v>
      </c>
      <c r="AE30" s="55"/>
      <c r="AF30" s="55"/>
      <c r="AG30" s="55">
        <v>10</v>
      </c>
      <c r="AH30" s="56" t="s">
        <v>282</v>
      </c>
      <c r="AI30" s="56"/>
      <c r="AJ30" s="56" t="s">
        <v>283</v>
      </c>
      <c r="AK30" s="56"/>
      <c r="AL30" s="56"/>
      <c r="AM30" s="56"/>
      <c r="AN30" s="56"/>
      <c r="AO30" s="56"/>
      <c r="AP30" s="56">
        <v>0.5</v>
      </c>
      <c r="AQ30" s="56"/>
      <c r="AR30" s="56">
        <f t="shared" si="7"/>
        <v>0.5</v>
      </c>
      <c r="AS30" s="56" t="s">
        <v>284</v>
      </c>
      <c r="AT30" s="56"/>
      <c r="AU30" s="56"/>
      <c r="AV30" s="56"/>
      <c r="AW30" s="56"/>
      <c r="AX30" s="56"/>
      <c r="AY30" s="58"/>
      <c r="AZ30" s="56">
        <f t="shared" si="21"/>
        <v>0</v>
      </c>
      <c r="BA30" s="56"/>
      <c r="BB30" s="56" t="s">
        <v>285</v>
      </c>
      <c r="BC30" s="56">
        <v>0.5</v>
      </c>
      <c r="BD30" s="56"/>
      <c r="BE30" s="56">
        <v>1</v>
      </c>
      <c r="BF30" s="56"/>
      <c r="BG30" s="56"/>
      <c r="BH30" s="56"/>
      <c r="BI30" s="56"/>
      <c r="BJ30" s="56"/>
      <c r="BK30" s="56"/>
      <c r="BL30" s="56"/>
      <c r="BM30" s="56">
        <v>0.3</v>
      </c>
      <c r="BN30" s="56"/>
      <c r="BO30" s="56"/>
      <c r="BP30" s="56"/>
      <c r="BQ30" s="56"/>
      <c r="BR30" s="56"/>
      <c r="BS30" s="56"/>
      <c r="BT30" s="56"/>
      <c r="BU30" s="58"/>
      <c r="BV30" s="58"/>
      <c r="BW30" s="58"/>
      <c r="BX30" s="58"/>
      <c r="BY30" s="58"/>
      <c r="BZ30" s="58"/>
      <c r="CA30" s="56"/>
      <c r="CB30" s="58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>
        <v>0.2</v>
      </c>
      <c r="CS30" s="56"/>
      <c r="CT30" s="56"/>
      <c r="CU30" s="56"/>
      <c r="CV30" s="56">
        <f t="shared" si="9"/>
        <v>2</v>
      </c>
      <c r="CW30" s="56">
        <f t="shared" si="10"/>
        <v>2</v>
      </c>
      <c r="CX30" s="56">
        <f t="shared" si="11"/>
        <v>0</v>
      </c>
      <c r="CY30" s="56">
        <f t="shared" si="12"/>
        <v>2.5</v>
      </c>
      <c r="CZ30" s="60" t="s">
        <v>48</v>
      </c>
      <c r="DA30" s="60">
        <v>2513200130</v>
      </c>
      <c r="DB30" s="60">
        <v>10</v>
      </c>
      <c r="DC30" s="61">
        <f t="shared" si="13"/>
        <v>54.25</v>
      </c>
      <c r="DD30" s="60">
        <f t="shared" si="14"/>
        <v>0.55000000000000004</v>
      </c>
      <c r="DE30" s="60">
        <f t="shared" si="15"/>
        <v>2.5</v>
      </c>
      <c r="DF30" s="60">
        <f t="shared" si="16"/>
        <v>67.3</v>
      </c>
      <c r="DG30" s="60">
        <f t="shared" si="17"/>
        <v>28</v>
      </c>
      <c r="DH30" s="61">
        <f t="shared" si="18"/>
        <v>542.5</v>
      </c>
      <c r="DI30" s="60">
        <f t="shared" si="19"/>
        <v>26</v>
      </c>
    </row>
    <row r="31" spans="1:113" ht="15.65" customHeight="1">
      <c r="A31" s="42" t="s">
        <v>49</v>
      </c>
      <c r="B31" s="43">
        <v>2513200131</v>
      </c>
      <c r="C31" s="44" t="s">
        <v>279</v>
      </c>
      <c r="D31" s="45">
        <v>86</v>
      </c>
      <c r="E31" s="45">
        <v>77</v>
      </c>
      <c r="F31" s="45">
        <v>67</v>
      </c>
      <c r="G31" s="45">
        <v>81.5</v>
      </c>
      <c r="H31" s="45">
        <v>81</v>
      </c>
      <c r="I31" s="45">
        <v>82</v>
      </c>
      <c r="J31" s="45">
        <v>74.5</v>
      </c>
      <c r="K31" s="45">
        <v>78.5</v>
      </c>
      <c r="L31" s="48">
        <f t="shared" si="0"/>
        <v>78.428571428571402</v>
      </c>
      <c r="M31" s="44">
        <f t="shared" si="1"/>
        <v>21</v>
      </c>
      <c r="N31" s="49">
        <v>22</v>
      </c>
      <c r="O31" s="44">
        <f>N31-M31</f>
        <v>1</v>
      </c>
      <c r="P31" s="48">
        <f t="shared" si="2"/>
        <v>54.9</v>
      </c>
      <c r="Q31" s="44"/>
      <c r="R31" s="44">
        <f t="shared" si="3"/>
        <v>0</v>
      </c>
      <c r="S31" s="44"/>
      <c r="T31" s="44"/>
      <c r="U31" s="44"/>
      <c r="V31" s="48">
        <f t="shared" si="4"/>
        <v>54.9</v>
      </c>
      <c r="W31" s="44">
        <f t="shared" si="5"/>
        <v>21</v>
      </c>
      <c r="X31" s="53" t="s">
        <v>280</v>
      </c>
      <c r="Y31" s="54">
        <v>78.5</v>
      </c>
      <c r="Z31" s="53">
        <f t="shared" si="6"/>
        <v>0.92500000000000004</v>
      </c>
      <c r="AA31" s="55" t="s">
        <v>281</v>
      </c>
      <c r="AB31" s="55">
        <v>4</v>
      </c>
      <c r="AC31" s="55">
        <v>4</v>
      </c>
      <c r="AD31" s="55">
        <v>2</v>
      </c>
      <c r="AE31" s="55"/>
      <c r="AF31" s="55"/>
      <c r="AG31" s="55">
        <v>10</v>
      </c>
      <c r="AH31" s="56" t="s">
        <v>282</v>
      </c>
      <c r="AI31" s="56">
        <v>1</v>
      </c>
      <c r="AJ31" s="56" t="s">
        <v>283</v>
      </c>
      <c r="AK31" s="56"/>
      <c r="AL31" s="56"/>
      <c r="AM31" s="56"/>
      <c r="AN31" s="56"/>
      <c r="AO31" s="56"/>
      <c r="AP31" s="56">
        <v>0.5</v>
      </c>
      <c r="AQ31" s="56"/>
      <c r="AR31" s="56">
        <f t="shared" si="7"/>
        <v>0.5</v>
      </c>
      <c r="AS31" s="56" t="s">
        <v>284</v>
      </c>
      <c r="AT31" s="56"/>
      <c r="AU31" s="56"/>
      <c r="AV31" s="56"/>
      <c r="AW31" s="56"/>
      <c r="AX31" s="56"/>
      <c r="AY31" s="56"/>
      <c r="AZ31" s="56">
        <f t="shared" si="21"/>
        <v>0</v>
      </c>
      <c r="BA31" s="56"/>
      <c r="BB31" s="56" t="s">
        <v>285</v>
      </c>
      <c r="BC31" s="56"/>
      <c r="BD31" s="56"/>
      <c r="BE31" s="56">
        <v>1</v>
      </c>
      <c r="BF31" s="56"/>
      <c r="BG31" s="56"/>
      <c r="BH31" s="56">
        <v>0.3</v>
      </c>
      <c r="BI31" s="56"/>
      <c r="BJ31" s="56"/>
      <c r="BK31" s="56"/>
      <c r="BL31" s="56"/>
      <c r="BM31" s="56">
        <v>0.3</v>
      </c>
      <c r="BN31" s="56">
        <v>0.8</v>
      </c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>
        <v>0.7</v>
      </c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>
        <v>0.2</v>
      </c>
      <c r="CS31" s="56"/>
      <c r="CT31" s="56"/>
      <c r="CU31" s="56"/>
      <c r="CV31" s="56">
        <f t="shared" si="9"/>
        <v>3.3</v>
      </c>
      <c r="CW31" s="56">
        <f t="shared" si="10"/>
        <v>3.3</v>
      </c>
      <c r="CX31" s="56">
        <f t="shared" si="11"/>
        <v>0</v>
      </c>
      <c r="CY31" s="56">
        <f t="shared" si="12"/>
        <v>4.8</v>
      </c>
      <c r="CZ31" s="60" t="s">
        <v>49</v>
      </c>
      <c r="DA31" s="60">
        <v>2513200131</v>
      </c>
      <c r="DB31" s="60">
        <v>10</v>
      </c>
      <c r="DC31" s="61">
        <f t="shared" si="13"/>
        <v>54.9</v>
      </c>
      <c r="DD31" s="60">
        <f t="shared" si="14"/>
        <v>0.92500000000000004</v>
      </c>
      <c r="DE31" s="60">
        <f t="shared" si="15"/>
        <v>4.8</v>
      </c>
      <c r="DF31" s="60">
        <f t="shared" si="16"/>
        <v>70.625</v>
      </c>
      <c r="DG31" s="60">
        <f t="shared" si="17"/>
        <v>22</v>
      </c>
      <c r="DH31" s="61">
        <f t="shared" si="18"/>
        <v>549</v>
      </c>
      <c r="DI31" s="60">
        <f t="shared" si="19"/>
        <v>21</v>
      </c>
    </row>
    <row r="32" spans="1:113" ht="15.65" customHeight="1">
      <c r="A32" s="42" t="s">
        <v>50</v>
      </c>
      <c r="B32" s="43">
        <v>2513200132</v>
      </c>
      <c r="C32" s="44" t="s">
        <v>279</v>
      </c>
      <c r="D32" s="45">
        <v>93.5</v>
      </c>
      <c r="E32" s="45">
        <v>93</v>
      </c>
      <c r="F32" s="45">
        <v>66</v>
      </c>
      <c r="G32" s="45">
        <v>83.5</v>
      </c>
      <c r="H32" s="45">
        <v>71</v>
      </c>
      <c r="I32" s="45">
        <v>84.5</v>
      </c>
      <c r="J32" s="45">
        <v>87</v>
      </c>
      <c r="K32" s="45">
        <v>80.5</v>
      </c>
      <c r="L32" s="48">
        <f t="shared" si="0"/>
        <v>82.642857142857096</v>
      </c>
      <c r="M32" s="44">
        <f t="shared" si="1"/>
        <v>9</v>
      </c>
      <c r="N32" s="49">
        <v>1</v>
      </c>
      <c r="O32" s="44">
        <v>0</v>
      </c>
      <c r="P32" s="48">
        <f t="shared" si="2"/>
        <v>57.85</v>
      </c>
      <c r="Q32" s="44"/>
      <c r="R32" s="44">
        <f t="shared" si="3"/>
        <v>0</v>
      </c>
      <c r="S32" s="44"/>
      <c r="T32" s="44">
        <v>0.5</v>
      </c>
      <c r="U32" s="44"/>
      <c r="V32" s="48">
        <f t="shared" si="4"/>
        <v>58.35</v>
      </c>
      <c r="W32" s="44">
        <f t="shared" si="5"/>
        <v>10</v>
      </c>
      <c r="X32" s="53" t="s">
        <v>280</v>
      </c>
      <c r="Y32" s="54">
        <v>80.5</v>
      </c>
      <c r="Z32" s="53">
        <f t="shared" si="6"/>
        <v>1.0249999999999999</v>
      </c>
      <c r="AA32" s="55" t="s">
        <v>281</v>
      </c>
      <c r="AB32" s="55">
        <v>4</v>
      </c>
      <c r="AC32" s="55">
        <v>4</v>
      </c>
      <c r="AD32" s="55">
        <v>2</v>
      </c>
      <c r="AE32" s="55"/>
      <c r="AF32" s="55"/>
      <c r="AG32" s="55">
        <v>10</v>
      </c>
      <c r="AH32" s="56" t="s">
        <v>282</v>
      </c>
      <c r="AI32" s="56">
        <v>1</v>
      </c>
      <c r="AJ32" s="56" t="s">
        <v>283</v>
      </c>
      <c r="AK32" s="56">
        <v>2.5</v>
      </c>
      <c r="AL32" s="56">
        <v>2</v>
      </c>
      <c r="AM32" s="56">
        <v>1.8</v>
      </c>
      <c r="AN32" s="56">
        <v>1.8</v>
      </c>
      <c r="AO32" s="56">
        <v>1.5</v>
      </c>
      <c r="AP32" s="56">
        <v>0.5</v>
      </c>
      <c r="AQ32" s="56">
        <v>1</v>
      </c>
      <c r="AR32" s="56">
        <f t="shared" si="7"/>
        <v>11.1</v>
      </c>
      <c r="AS32" s="56" t="s">
        <v>284</v>
      </c>
      <c r="AT32" s="56"/>
      <c r="AU32" s="56">
        <v>0.3</v>
      </c>
      <c r="AV32" s="56"/>
      <c r="AW32" s="56"/>
      <c r="AX32" s="56"/>
      <c r="AY32" s="56"/>
      <c r="AZ32" s="56">
        <f t="shared" si="21"/>
        <v>0.3</v>
      </c>
      <c r="BA32" s="56"/>
      <c r="BB32" s="56" t="s">
        <v>285</v>
      </c>
      <c r="BC32" s="56"/>
      <c r="BD32" s="56">
        <v>1</v>
      </c>
      <c r="BE32" s="56"/>
      <c r="BF32" s="56"/>
      <c r="BG32" s="56">
        <v>0.5</v>
      </c>
      <c r="BH32" s="56">
        <v>0.3</v>
      </c>
      <c r="BI32" s="56">
        <v>0.3</v>
      </c>
      <c r="BJ32" s="56"/>
      <c r="BK32" s="56"/>
      <c r="BL32" s="56"/>
      <c r="BM32" s="56"/>
      <c r="BN32" s="56"/>
      <c r="BO32" s="56">
        <v>0.5</v>
      </c>
      <c r="BP32" s="56">
        <v>0.3</v>
      </c>
      <c r="BQ32" s="56"/>
      <c r="BR32" s="56"/>
      <c r="BS32" s="56"/>
      <c r="BT32" s="56">
        <v>1</v>
      </c>
      <c r="BU32" s="56"/>
      <c r="BV32" s="56">
        <v>0.6</v>
      </c>
      <c r="BW32" s="56"/>
      <c r="BX32" s="56"/>
      <c r="BY32" s="56">
        <v>1</v>
      </c>
      <c r="BZ32" s="56"/>
      <c r="CA32" s="56"/>
      <c r="CB32" s="56"/>
      <c r="CC32" s="56"/>
      <c r="CD32" s="56"/>
      <c r="CE32" s="56"/>
      <c r="CF32" s="56"/>
      <c r="CG32" s="56">
        <v>0.5</v>
      </c>
      <c r="CH32" s="56">
        <v>0.8</v>
      </c>
      <c r="CI32" s="56">
        <v>0.3</v>
      </c>
      <c r="CJ32" s="56"/>
      <c r="CK32" s="56"/>
      <c r="CL32" s="56"/>
      <c r="CM32" s="56"/>
      <c r="CN32" s="56"/>
      <c r="CO32" s="56">
        <v>0.3</v>
      </c>
      <c r="CP32" s="56">
        <v>0.5</v>
      </c>
      <c r="CQ32" s="56"/>
      <c r="CR32" s="56">
        <v>0.5</v>
      </c>
      <c r="CS32" s="56"/>
      <c r="CT32" s="56">
        <v>0.3</v>
      </c>
      <c r="CU32" s="56">
        <v>0.5</v>
      </c>
      <c r="CV32" s="56">
        <f t="shared" si="9"/>
        <v>9.1999999999999993</v>
      </c>
      <c r="CW32" s="56">
        <f t="shared" si="10"/>
        <v>4</v>
      </c>
      <c r="CX32" s="56">
        <f t="shared" si="11"/>
        <v>5.2</v>
      </c>
      <c r="CY32" s="56">
        <f t="shared" si="12"/>
        <v>16.399999999999999</v>
      </c>
      <c r="CZ32" s="60" t="s">
        <v>50</v>
      </c>
      <c r="DA32" s="60">
        <v>2513200132</v>
      </c>
      <c r="DB32" s="60">
        <v>10</v>
      </c>
      <c r="DC32" s="61">
        <f t="shared" si="13"/>
        <v>58.35</v>
      </c>
      <c r="DD32" s="60">
        <f t="shared" si="14"/>
        <v>1.0249999999999999</v>
      </c>
      <c r="DE32" s="60">
        <f t="shared" si="15"/>
        <v>16.399999999999999</v>
      </c>
      <c r="DF32" s="60">
        <f t="shared" si="16"/>
        <v>85.775000000000006</v>
      </c>
      <c r="DG32" s="60">
        <f t="shared" si="17"/>
        <v>2</v>
      </c>
      <c r="DH32" s="61">
        <f t="shared" si="18"/>
        <v>578.5</v>
      </c>
      <c r="DI32" s="60">
        <f t="shared" si="19"/>
        <v>9</v>
      </c>
    </row>
    <row r="33" spans="1:113" ht="15.65" customHeight="1">
      <c r="A33" s="42" t="s">
        <v>51</v>
      </c>
      <c r="B33" s="43">
        <v>2513200133</v>
      </c>
      <c r="C33" s="44" t="s">
        <v>279</v>
      </c>
      <c r="D33" s="45">
        <v>84</v>
      </c>
      <c r="E33" s="45">
        <v>75</v>
      </c>
      <c r="F33" s="45">
        <v>74</v>
      </c>
      <c r="G33" s="45">
        <v>78</v>
      </c>
      <c r="H33" s="45">
        <v>79</v>
      </c>
      <c r="I33" s="45">
        <v>84</v>
      </c>
      <c r="J33" s="45">
        <v>81.5</v>
      </c>
      <c r="K33" s="45">
        <v>78</v>
      </c>
      <c r="L33" s="48">
        <f t="shared" si="0"/>
        <v>79.357142857142904</v>
      </c>
      <c r="M33" s="44">
        <f t="shared" si="1"/>
        <v>20</v>
      </c>
      <c r="N33" s="49">
        <v>15</v>
      </c>
      <c r="O33" s="44">
        <v>0</v>
      </c>
      <c r="P33" s="48">
        <f t="shared" si="2"/>
        <v>55.55</v>
      </c>
      <c r="Q33" s="44"/>
      <c r="R33" s="44">
        <f t="shared" si="3"/>
        <v>0</v>
      </c>
      <c r="S33" s="44"/>
      <c r="T33" s="44"/>
      <c r="U33" s="44"/>
      <c r="V33" s="48">
        <f t="shared" si="4"/>
        <v>55.55</v>
      </c>
      <c r="W33" s="44">
        <f t="shared" si="5"/>
        <v>20</v>
      </c>
      <c r="X33" s="53" t="s">
        <v>280</v>
      </c>
      <c r="Y33" s="54">
        <v>78</v>
      </c>
      <c r="Z33" s="53">
        <f t="shared" si="6"/>
        <v>0.9</v>
      </c>
      <c r="AA33" s="55" t="s">
        <v>281</v>
      </c>
      <c r="AB33" s="55">
        <v>4</v>
      </c>
      <c r="AC33" s="55">
        <v>4</v>
      </c>
      <c r="AD33" s="55">
        <v>2</v>
      </c>
      <c r="AE33" s="55"/>
      <c r="AF33" s="55"/>
      <c r="AG33" s="55">
        <v>10</v>
      </c>
      <c r="AH33" s="56" t="s">
        <v>282</v>
      </c>
      <c r="AI33" s="56"/>
      <c r="AJ33" s="56" t="s">
        <v>283</v>
      </c>
      <c r="AK33" s="56"/>
      <c r="AL33" s="56"/>
      <c r="AM33" s="56"/>
      <c r="AN33" s="56"/>
      <c r="AO33" s="56"/>
      <c r="AP33" s="56">
        <v>0.5</v>
      </c>
      <c r="AQ33" s="56"/>
      <c r="AR33" s="56">
        <f t="shared" si="7"/>
        <v>0.5</v>
      </c>
      <c r="AS33" s="56" t="s">
        <v>284</v>
      </c>
      <c r="AT33" s="56"/>
      <c r="AU33" s="56"/>
      <c r="AV33" s="56"/>
      <c r="AW33" s="56"/>
      <c r="AX33" s="56"/>
      <c r="AY33" s="56">
        <v>0.5</v>
      </c>
      <c r="AZ33" s="56">
        <f t="shared" si="21"/>
        <v>0.5</v>
      </c>
      <c r="BA33" s="56"/>
      <c r="BB33" s="56" t="s">
        <v>285</v>
      </c>
      <c r="BC33" s="56">
        <v>0.5</v>
      </c>
      <c r="BD33" s="56"/>
      <c r="BE33" s="56">
        <v>0.9</v>
      </c>
      <c r="BF33" s="56"/>
      <c r="BG33" s="56"/>
      <c r="BH33" s="56">
        <v>0.3</v>
      </c>
      <c r="BI33" s="56"/>
      <c r="BJ33" s="56"/>
      <c r="BK33" s="56"/>
      <c r="BL33" s="56"/>
      <c r="BM33" s="56">
        <v>0.3</v>
      </c>
      <c r="BN33" s="56"/>
      <c r="BO33" s="56"/>
      <c r="BP33" s="56"/>
      <c r="BQ33" s="56"/>
      <c r="BR33" s="56"/>
      <c r="BS33" s="56"/>
      <c r="BT33" s="56"/>
      <c r="BU33" s="56"/>
      <c r="BV33" s="56"/>
      <c r="BW33" s="56">
        <v>0.3</v>
      </c>
      <c r="BX33" s="56"/>
      <c r="BY33" s="56"/>
      <c r="BZ33" s="56"/>
      <c r="CA33" s="56">
        <v>0.7</v>
      </c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>
        <v>0.1</v>
      </c>
      <c r="CM33" s="56"/>
      <c r="CN33" s="56"/>
      <c r="CO33" s="56"/>
      <c r="CP33" s="56"/>
      <c r="CQ33" s="56"/>
      <c r="CR33" s="56">
        <v>0.2</v>
      </c>
      <c r="CS33" s="56"/>
      <c r="CT33" s="56"/>
      <c r="CU33" s="56"/>
      <c r="CV33" s="56">
        <f t="shared" si="9"/>
        <v>3.3</v>
      </c>
      <c r="CW33" s="56">
        <f t="shared" si="10"/>
        <v>3.3</v>
      </c>
      <c r="CX33" s="56">
        <f t="shared" si="11"/>
        <v>0</v>
      </c>
      <c r="CY33" s="56">
        <f t="shared" si="12"/>
        <v>4.3</v>
      </c>
      <c r="CZ33" s="60" t="s">
        <v>51</v>
      </c>
      <c r="DA33" s="60">
        <v>2513200133</v>
      </c>
      <c r="DB33" s="60">
        <v>10</v>
      </c>
      <c r="DC33" s="61">
        <f t="shared" si="13"/>
        <v>55.55</v>
      </c>
      <c r="DD33" s="60">
        <f t="shared" si="14"/>
        <v>0.9</v>
      </c>
      <c r="DE33" s="60">
        <f t="shared" si="15"/>
        <v>4.3</v>
      </c>
      <c r="DF33" s="60">
        <f t="shared" si="16"/>
        <v>70.75</v>
      </c>
      <c r="DG33" s="60">
        <f t="shared" si="17"/>
        <v>21</v>
      </c>
      <c r="DH33" s="61">
        <f t="shared" si="18"/>
        <v>555.5</v>
      </c>
      <c r="DI33" s="60">
        <f t="shared" si="19"/>
        <v>20</v>
      </c>
    </row>
    <row r="34" spans="1:113" ht="15.65" customHeight="1">
      <c r="A34" s="42" t="s">
        <v>52</v>
      </c>
      <c r="B34" s="43">
        <v>2513200134</v>
      </c>
      <c r="C34" s="44" t="s">
        <v>279</v>
      </c>
      <c r="D34" s="45">
        <v>83.5</v>
      </c>
      <c r="E34" s="45">
        <v>84.5</v>
      </c>
      <c r="F34" s="45">
        <v>71</v>
      </c>
      <c r="G34" s="45">
        <v>75.5</v>
      </c>
      <c r="H34" s="45">
        <v>71</v>
      </c>
      <c r="I34" s="45">
        <v>77</v>
      </c>
      <c r="J34" s="45">
        <v>86</v>
      </c>
      <c r="K34" s="45">
        <v>70.5</v>
      </c>
      <c r="L34" s="48">
        <f t="shared" si="0"/>
        <v>78.357142857142904</v>
      </c>
      <c r="M34" s="44">
        <f t="shared" si="1"/>
        <v>23</v>
      </c>
      <c r="N34" s="49">
        <v>21</v>
      </c>
      <c r="O34" s="44">
        <v>0</v>
      </c>
      <c r="P34" s="48">
        <f t="shared" si="2"/>
        <v>54.85</v>
      </c>
      <c r="Q34" s="44"/>
      <c r="R34" s="44">
        <f t="shared" si="3"/>
        <v>0</v>
      </c>
      <c r="S34" s="44"/>
      <c r="T34" s="44"/>
      <c r="U34" s="44"/>
      <c r="V34" s="48">
        <f t="shared" si="4"/>
        <v>54.85</v>
      </c>
      <c r="W34" s="44">
        <f t="shared" si="5"/>
        <v>23</v>
      </c>
      <c r="X34" s="53" t="s">
        <v>280</v>
      </c>
      <c r="Y34" s="54">
        <v>70.5</v>
      </c>
      <c r="Z34" s="53">
        <f t="shared" si="6"/>
        <v>0.52500000000000002</v>
      </c>
      <c r="AA34" s="55" t="s">
        <v>281</v>
      </c>
      <c r="AB34" s="55">
        <v>4</v>
      </c>
      <c r="AC34" s="55">
        <v>4</v>
      </c>
      <c r="AD34" s="55">
        <v>2</v>
      </c>
      <c r="AE34" s="55"/>
      <c r="AF34" s="55"/>
      <c r="AG34" s="55">
        <v>10</v>
      </c>
      <c r="AH34" s="56" t="s">
        <v>282</v>
      </c>
      <c r="AI34" s="56">
        <v>1</v>
      </c>
      <c r="AJ34" s="56" t="s">
        <v>283</v>
      </c>
      <c r="AK34" s="56"/>
      <c r="AL34" s="56"/>
      <c r="AM34" s="56"/>
      <c r="AN34" s="56"/>
      <c r="AO34" s="56"/>
      <c r="AP34" s="56">
        <v>0.5</v>
      </c>
      <c r="AQ34" s="56"/>
      <c r="AR34" s="56">
        <f t="shared" si="7"/>
        <v>0.5</v>
      </c>
      <c r="AS34" s="56" t="s">
        <v>284</v>
      </c>
      <c r="AT34" s="56">
        <v>3</v>
      </c>
      <c r="AU34" s="56"/>
      <c r="AV34" s="56"/>
      <c r="AW34" s="56"/>
      <c r="AX34" s="56"/>
      <c r="AY34" s="56"/>
      <c r="AZ34" s="56">
        <f t="shared" si="21"/>
        <v>3</v>
      </c>
      <c r="BA34" s="56"/>
      <c r="BB34" s="56" t="s">
        <v>285</v>
      </c>
      <c r="BC34" s="56">
        <v>0.5</v>
      </c>
      <c r="BD34" s="56"/>
      <c r="BE34" s="56">
        <v>1</v>
      </c>
      <c r="BF34" s="56"/>
      <c r="BG34" s="56"/>
      <c r="BH34" s="56"/>
      <c r="BI34" s="56"/>
      <c r="BJ34" s="56"/>
      <c r="BK34" s="56"/>
      <c r="BL34" s="56"/>
      <c r="BM34" s="56">
        <v>0.3</v>
      </c>
      <c r="BN34" s="56">
        <v>0.8</v>
      </c>
      <c r="BO34" s="56"/>
      <c r="BP34" s="56"/>
      <c r="BQ34" s="56">
        <v>0.8</v>
      </c>
      <c r="BR34" s="56"/>
      <c r="BS34" s="56"/>
      <c r="BT34" s="56"/>
      <c r="BU34" s="56">
        <v>0.5</v>
      </c>
      <c r="BV34" s="56"/>
      <c r="BW34" s="56"/>
      <c r="BX34" s="56"/>
      <c r="BY34" s="56"/>
      <c r="BZ34" s="56"/>
      <c r="CA34" s="56">
        <v>0.5</v>
      </c>
      <c r="CB34" s="56"/>
      <c r="CC34" s="56"/>
      <c r="CD34" s="56"/>
      <c r="CE34" s="56"/>
      <c r="CF34" s="56"/>
      <c r="CG34" s="56"/>
      <c r="CH34" s="56"/>
      <c r="CI34" s="56">
        <v>0.3</v>
      </c>
      <c r="CJ34" s="56"/>
      <c r="CK34" s="56"/>
      <c r="CL34" s="56"/>
      <c r="CM34" s="56"/>
      <c r="CN34" s="56"/>
      <c r="CO34" s="56"/>
      <c r="CP34" s="56"/>
      <c r="CQ34" s="56"/>
      <c r="CR34" s="56">
        <v>0.2</v>
      </c>
      <c r="CS34" s="56"/>
      <c r="CT34" s="56"/>
      <c r="CU34" s="56"/>
      <c r="CV34" s="56">
        <f t="shared" si="9"/>
        <v>4.9000000000000004</v>
      </c>
      <c r="CW34" s="56">
        <f t="shared" si="10"/>
        <v>4</v>
      </c>
      <c r="CX34" s="56">
        <f t="shared" si="11"/>
        <v>0.9</v>
      </c>
      <c r="CY34" s="56">
        <f t="shared" si="12"/>
        <v>8.5</v>
      </c>
      <c r="CZ34" s="60" t="s">
        <v>52</v>
      </c>
      <c r="DA34" s="60">
        <v>2513200134</v>
      </c>
      <c r="DB34" s="60">
        <v>10</v>
      </c>
      <c r="DC34" s="61">
        <f t="shared" si="13"/>
        <v>54.85</v>
      </c>
      <c r="DD34" s="60">
        <f t="shared" si="14"/>
        <v>0.52500000000000002</v>
      </c>
      <c r="DE34" s="60">
        <f t="shared" si="15"/>
        <v>8.5</v>
      </c>
      <c r="DF34" s="60">
        <f t="shared" si="16"/>
        <v>73.875</v>
      </c>
      <c r="DG34" s="60">
        <f t="shared" si="17"/>
        <v>12</v>
      </c>
      <c r="DH34" s="61">
        <f t="shared" si="18"/>
        <v>548.5</v>
      </c>
      <c r="DI34" s="60">
        <f t="shared" si="19"/>
        <v>23</v>
      </c>
    </row>
    <row r="35" spans="1:113" ht="15.65" customHeight="1">
      <c r="A35" s="42" t="s">
        <v>53</v>
      </c>
      <c r="B35" s="43">
        <v>2513200135</v>
      </c>
      <c r="C35" s="44" t="s">
        <v>279</v>
      </c>
      <c r="D35" s="45">
        <v>91</v>
      </c>
      <c r="E35" s="45">
        <v>81.5</v>
      </c>
      <c r="F35" s="45">
        <v>70</v>
      </c>
      <c r="G35" s="45">
        <v>83.5</v>
      </c>
      <c r="H35" s="45">
        <v>88</v>
      </c>
      <c r="I35" s="45">
        <v>81.5</v>
      </c>
      <c r="J35" s="45">
        <v>83</v>
      </c>
      <c r="K35" s="45">
        <v>72.5</v>
      </c>
      <c r="L35" s="48">
        <f t="shared" si="0"/>
        <v>82.642857142857096</v>
      </c>
      <c r="M35" s="44">
        <f t="shared" si="1"/>
        <v>9</v>
      </c>
      <c r="N35" s="49">
        <v>10</v>
      </c>
      <c r="O35" s="44">
        <f>N35-M35</f>
        <v>1</v>
      </c>
      <c r="P35" s="48">
        <f t="shared" si="2"/>
        <v>57.85</v>
      </c>
      <c r="Q35" s="44"/>
      <c r="R35" s="44">
        <f t="shared" si="3"/>
        <v>0</v>
      </c>
      <c r="S35" s="44"/>
      <c r="T35" s="44">
        <v>0.5</v>
      </c>
      <c r="U35" s="44"/>
      <c r="V35" s="48">
        <f t="shared" si="4"/>
        <v>58.35</v>
      </c>
      <c r="W35" s="44">
        <f t="shared" si="5"/>
        <v>10</v>
      </c>
      <c r="X35" s="53" t="s">
        <v>280</v>
      </c>
      <c r="Y35" s="54">
        <v>72.5</v>
      </c>
      <c r="Z35" s="53">
        <f t="shared" si="6"/>
        <v>0.625</v>
      </c>
      <c r="AA35" s="55" t="s">
        <v>281</v>
      </c>
      <c r="AB35" s="55">
        <v>4</v>
      </c>
      <c r="AC35" s="55">
        <v>4</v>
      </c>
      <c r="AD35" s="55">
        <v>2</v>
      </c>
      <c r="AE35" s="55"/>
      <c r="AF35" s="55"/>
      <c r="AG35" s="55">
        <v>10</v>
      </c>
      <c r="AH35" s="56" t="s">
        <v>282</v>
      </c>
      <c r="AI35" s="56">
        <v>1</v>
      </c>
      <c r="AJ35" s="56" t="s">
        <v>283</v>
      </c>
      <c r="AK35" s="56">
        <v>2.5</v>
      </c>
      <c r="AL35" s="56"/>
      <c r="AM35" s="56"/>
      <c r="AN35" s="56"/>
      <c r="AO35" s="56"/>
      <c r="AP35" s="56">
        <v>0.5</v>
      </c>
      <c r="AQ35" s="56">
        <v>1</v>
      </c>
      <c r="AR35" s="56">
        <f t="shared" si="7"/>
        <v>4</v>
      </c>
      <c r="AS35" s="56" t="s">
        <v>284</v>
      </c>
      <c r="AT35" s="56">
        <v>3</v>
      </c>
      <c r="AU35" s="56"/>
      <c r="AV35" s="56"/>
      <c r="AW35" s="56"/>
      <c r="AX35" s="56"/>
      <c r="AY35" s="56"/>
      <c r="AZ35" s="56">
        <f t="shared" si="21"/>
        <v>3</v>
      </c>
      <c r="BA35" s="56"/>
      <c r="BB35" s="56" t="s">
        <v>285</v>
      </c>
      <c r="BC35" s="56"/>
      <c r="BD35" s="56"/>
      <c r="BE35" s="56">
        <v>1</v>
      </c>
      <c r="BF35" s="56"/>
      <c r="BG35" s="56"/>
      <c r="BH35" s="56">
        <v>0.3</v>
      </c>
      <c r="BI35" s="56"/>
      <c r="BJ35" s="56">
        <v>0.5</v>
      </c>
      <c r="BK35" s="56"/>
      <c r="BL35" s="56"/>
      <c r="BM35" s="56">
        <v>0.3</v>
      </c>
      <c r="BN35" s="56">
        <v>0.8</v>
      </c>
      <c r="BO35" s="56"/>
      <c r="BP35" s="56"/>
      <c r="BQ35" s="56">
        <v>0.8</v>
      </c>
      <c r="BR35" s="56"/>
      <c r="BS35" s="56"/>
      <c r="BT35" s="56"/>
      <c r="BU35" s="56">
        <v>0.5</v>
      </c>
      <c r="BV35" s="56"/>
      <c r="BW35" s="56">
        <v>0.3</v>
      </c>
      <c r="BX35" s="56"/>
      <c r="BY35" s="56"/>
      <c r="BZ35" s="56"/>
      <c r="CA35" s="56">
        <v>0.5</v>
      </c>
      <c r="CB35" s="56"/>
      <c r="CC35" s="56"/>
      <c r="CD35" s="56"/>
      <c r="CE35" s="56"/>
      <c r="CF35" s="56"/>
      <c r="CG35" s="56">
        <v>0.5</v>
      </c>
      <c r="CH35" s="56"/>
      <c r="CI35" s="56">
        <v>0.3</v>
      </c>
      <c r="CJ35" s="56"/>
      <c r="CK35" s="56"/>
      <c r="CL35" s="56"/>
      <c r="CM35" s="56"/>
      <c r="CN35" s="56"/>
      <c r="CO35" s="56"/>
      <c r="CP35" s="56"/>
      <c r="CQ35" s="56"/>
      <c r="CR35" s="56">
        <v>0.2</v>
      </c>
      <c r="CS35" s="56"/>
      <c r="CT35" s="56"/>
      <c r="CU35" s="56"/>
      <c r="CV35" s="56">
        <f t="shared" si="9"/>
        <v>6</v>
      </c>
      <c r="CW35" s="56">
        <f t="shared" si="10"/>
        <v>4</v>
      </c>
      <c r="CX35" s="56">
        <f t="shared" si="11"/>
        <v>2</v>
      </c>
      <c r="CY35" s="56">
        <f t="shared" si="12"/>
        <v>12</v>
      </c>
      <c r="CZ35" s="60" t="s">
        <v>53</v>
      </c>
      <c r="DA35" s="60">
        <v>2513200135</v>
      </c>
      <c r="DB35" s="60">
        <v>10</v>
      </c>
      <c r="DC35" s="61">
        <f t="shared" si="13"/>
        <v>58.35</v>
      </c>
      <c r="DD35" s="60">
        <f t="shared" si="14"/>
        <v>0.625</v>
      </c>
      <c r="DE35" s="60">
        <f t="shared" si="15"/>
        <v>12</v>
      </c>
      <c r="DF35" s="60">
        <f t="shared" si="16"/>
        <v>80.974999999999994</v>
      </c>
      <c r="DG35" s="60">
        <f t="shared" si="17"/>
        <v>5</v>
      </c>
      <c r="DH35" s="61">
        <f t="shared" si="18"/>
        <v>578.5</v>
      </c>
      <c r="DI35" s="60">
        <f t="shared" si="19"/>
        <v>9</v>
      </c>
    </row>
    <row r="36" spans="1:113" ht="15.65" customHeight="1">
      <c r="A36" s="42" t="s">
        <v>54</v>
      </c>
      <c r="B36" s="43">
        <v>2513200136</v>
      </c>
      <c r="C36" s="44" t="s">
        <v>279</v>
      </c>
      <c r="D36" s="45">
        <v>80</v>
      </c>
      <c r="E36" s="45">
        <v>79.5</v>
      </c>
      <c r="F36" s="45">
        <v>72</v>
      </c>
      <c r="G36" s="45">
        <v>89.5</v>
      </c>
      <c r="H36" s="45">
        <v>81.5</v>
      </c>
      <c r="I36" s="45">
        <v>82.5</v>
      </c>
      <c r="J36" s="45">
        <v>76.5</v>
      </c>
      <c r="K36" s="45">
        <v>76</v>
      </c>
      <c r="L36" s="48">
        <f t="shared" si="0"/>
        <v>80.214285714285694</v>
      </c>
      <c r="M36" s="44">
        <f t="shared" si="1"/>
        <v>15</v>
      </c>
      <c r="N36" s="49">
        <v>30</v>
      </c>
      <c r="O36" s="44">
        <f>N36-M36</f>
        <v>15</v>
      </c>
      <c r="P36" s="48">
        <f t="shared" si="2"/>
        <v>56.15</v>
      </c>
      <c r="Q36" s="44"/>
      <c r="R36" s="44">
        <f t="shared" si="3"/>
        <v>0</v>
      </c>
      <c r="S36" s="44"/>
      <c r="T36" s="44"/>
      <c r="U36" s="44">
        <v>2</v>
      </c>
      <c r="V36" s="48">
        <f t="shared" si="4"/>
        <v>58.15</v>
      </c>
      <c r="W36" s="44">
        <f t="shared" si="5"/>
        <v>12</v>
      </c>
      <c r="X36" s="53" t="s">
        <v>280</v>
      </c>
      <c r="Y36" s="54">
        <v>76</v>
      </c>
      <c r="Z36" s="53">
        <f t="shared" si="6"/>
        <v>0.8</v>
      </c>
      <c r="AA36" s="55" t="s">
        <v>281</v>
      </c>
      <c r="AB36" s="55">
        <v>4</v>
      </c>
      <c r="AC36" s="55">
        <v>4</v>
      </c>
      <c r="AD36" s="55">
        <v>2</v>
      </c>
      <c r="AE36" s="55"/>
      <c r="AF36" s="55"/>
      <c r="AG36" s="55">
        <v>10</v>
      </c>
      <c r="AH36" s="56" t="s">
        <v>282</v>
      </c>
      <c r="AI36" s="56"/>
      <c r="AJ36" s="56" t="s">
        <v>283</v>
      </c>
      <c r="AK36" s="56"/>
      <c r="AL36" s="56"/>
      <c r="AM36" s="56"/>
      <c r="AN36" s="56"/>
      <c r="AO36" s="56"/>
      <c r="AP36" s="56">
        <v>0.5</v>
      </c>
      <c r="AQ36" s="56"/>
      <c r="AR36" s="56">
        <f t="shared" si="7"/>
        <v>0.5</v>
      </c>
      <c r="AS36" s="56" t="s">
        <v>284</v>
      </c>
      <c r="AT36" s="56">
        <v>3</v>
      </c>
      <c r="AU36" s="56">
        <v>0.5</v>
      </c>
      <c r="AV36" s="56"/>
      <c r="AW36" s="56">
        <v>0.5</v>
      </c>
      <c r="AX36" s="56">
        <v>0.3</v>
      </c>
      <c r="AY36" s="56">
        <v>0.5</v>
      </c>
      <c r="AZ36" s="56">
        <v>3</v>
      </c>
      <c r="BA36" s="56">
        <v>1.8</v>
      </c>
      <c r="BB36" s="56" t="s">
        <v>285</v>
      </c>
      <c r="BC36" s="56"/>
      <c r="BD36" s="56"/>
      <c r="BE36" s="56"/>
      <c r="BF36" s="56">
        <v>1</v>
      </c>
      <c r="BG36" s="56"/>
      <c r="BH36" s="56">
        <v>0.3</v>
      </c>
      <c r="BI36" s="56"/>
      <c r="BJ36" s="56"/>
      <c r="BK36" s="56"/>
      <c r="BL36" s="56"/>
      <c r="BM36" s="56">
        <v>0.3</v>
      </c>
      <c r="BN36" s="56"/>
      <c r="BO36" s="56">
        <v>0.5</v>
      </c>
      <c r="BP36" s="56"/>
      <c r="BQ36" s="56"/>
      <c r="BR36" s="56"/>
      <c r="BS36" s="56"/>
      <c r="BT36" s="56"/>
      <c r="BU36" s="56"/>
      <c r="BV36" s="56"/>
      <c r="BW36" s="56"/>
      <c r="BX36" s="56"/>
      <c r="BY36" s="56">
        <v>1</v>
      </c>
      <c r="BZ36" s="56"/>
      <c r="CA36" s="56">
        <v>0.5</v>
      </c>
      <c r="CB36" s="56">
        <v>0.3</v>
      </c>
      <c r="CC36" s="56"/>
      <c r="CD36" s="56"/>
      <c r="CE36" s="56">
        <v>0.5</v>
      </c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>
        <v>0.2</v>
      </c>
      <c r="CS36" s="56"/>
      <c r="CT36" s="56"/>
      <c r="CU36" s="56"/>
      <c r="CV36" s="56">
        <f t="shared" si="9"/>
        <v>4.5999999999999996</v>
      </c>
      <c r="CW36" s="56">
        <f t="shared" si="10"/>
        <v>4</v>
      </c>
      <c r="CX36" s="56">
        <f t="shared" si="11"/>
        <v>0.60000000000000098</v>
      </c>
      <c r="CY36" s="56">
        <f t="shared" si="12"/>
        <v>7.5</v>
      </c>
      <c r="CZ36" s="60" t="s">
        <v>54</v>
      </c>
      <c r="DA36" s="60">
        <v>2513200136</v>
      </c>
      <c r="DB36" s="60">
        <v>10</v>
      </c>
      <c r="DC36" s="61">
        <f t="shared" si="13"/>
        <v>58.15</v>
      </c>
      <c r="DD36" s="60">
        <f t="shared" si="14"/>
        <v>0.8</v>
      </c>
      <c r="DE36" s="60">
        <f t="shared" si="15"/>
        <v>7.5</v>
      </c>
      <c r="DF36" s="60">
        <f t="shared" si="16"/>
        <v>76.45</v>
      </c>
      <c r="DG36" s="60">
        <f t="shared" si="17"/>
        <v>10</v>
      </c>
      <c r="DH36" s="61">
        <f t="shared" si="18"/>
        <v>561.5</v>
      </c>
      <c r="DI36" s="60">
        <f t="shared" si="19"/>
        <v>15</v>
      </c>
    </row>
    <row r="37" spans="1:113" ht="15.65" customHeight="1">
      <c r="A37" s="42" t="s">
        <v>55</v>
      </c>
      <c r="B37" s="43">
        <v>2513200137</v>
      </c>
      <c r="C37" s="44" t="s">
        <v>279</v>
      </c>
      <c r="D37" s="45">
        <v>80</v>
      </c>
      <c r="E37" s="45">
        <v>69.5</v>
      </c>
      <c r="F37" s="45">
        <v>62</v>
      </c>
      <c r="G37" s="45">
        <v>60.5</v>
      </c>
      <c r="H37" s="45">
        <v>73.5</v>
      </c>
      <c r="I37" s="45">
        <v>73.5</v>
      </c>
      <c r="J37" s="45">
        <v>81</v>
      </c>
      <c r="K37" s="45">
        <v>72.5</v>
      </c>
      <c r="L37" s="48">
        <f t="shared" si="0"/>
        <v>71.428571428571402</v>
      </c>
      <c r="M37" s="44">
        <f t="shared" si="1"/>
        <v>41</v>
      </c>
      <c r="N37" s="49">
        <v>44</v>
      </c>
      <c r="O37" s="44">
        <f>N37-M37</f>
        <v>3</v>
      </c>
      <c r="P37" s="48">
        <f t="shared" si="2"/>
        <v>50</v>
      </c>
      <c r="Q37" s="44"/>
      <c r="R37" s="44">
        <f t="shared" si="3"/>
        <v>0</v>
      </c>
      <c r="S37" s="44"/>
      <c r="T37" s="44"/>
      <c r="U37" s="44"/>
      <c r="V37" s="48">
        <f t="shared" si="4"/>
        <v>50</v>
      </c>
      <c r="W37" s="44">
        <f t="shared" si="5"/>
        <v>39</v>
      </c>
      <c r="X37" s="53" t="s">
        <v>280</v>
      </c>
      <c r="Y37" s="54">
        <v>72.5</v>
      </c>
      <c r="Z37" s="53">
        <f t="shared" si="6"/>
        <v>0.625</v>
      </c>
      <c r="AA37" s="55" t="s">
        <v>281</v>
      </c>
      <c r="AB37" s="55">
        <v>4</v>
      </c>
      <c r="AC37" s="55">
        <v>4</v>
      </c>
      <c r="AD37" s="55">
        <v>2</v>
      </c>
      <c r="AE37" s="55"/>
      <c r="AF37" s="55"/>
      <c r="AG37" s="55">
        <v>10</v>
      </c>
      <c r="AH37" s="56" t="s">
        <v>282</v>
      </c>
      <c r="AI37" s="56"/>
      <c r="AJ37" s="56" t="s">
        <v>283</v>
      </c>
      <c r="AK37" s="56"/>
      <c r="AL37" s="56"/>
      <c r="AM37" s="56"/>
      <c r="AN37" s="56"/>
      <c r="AO37" s="56"/>
      <c r="AP37" s="56"/>
      <c r="AQ37" s="56"/>
      <c r="AR37" s="56">
        <f t="shared" si="7"/>
        <v>0</v>
      </c>
      <c r="AS37" s="56" t="s">
        <v>284</v>
      </c>
      <c r="AT37" s="56"/>
      <c r="AU37" s="56"/>
      <c r="AV37" s="56"/>
      <c r="AW37" s="56"/>
      <c r="AX37" s="56"/>
      <c r="AY37" s="56"/>
      <c r="AZ37" s="56">
        <f>SUM(AT37:AY37)</f>
        <v>0</v>
      </c>
      <c r="BA37" s="56"/>
      <c r="BB37" s="56" t="s">
        <v>285</v>
      </c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>
        <v>0.5</v>
      </c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>
        <v>0.2</v>
      </c>
      <c r="CS37" s="56"/>
      <c r="CT37" s="56"/>
      <c r="CU37" s="56"/>
      <c r="CV37" s="56">
        <f t="shared" si="9"/>
        <v>0.7</v>
      </c>
      <c r="CW37" s="56">
        <f t="shared" si="10"/>
        <v>0.7</v>
      </c>
      <c r="CX37" s="56">
        <f t="shared" si="11"/>
        <v>0</v>
      </c>
      <c r="CY37" s="56">
        <f t="shared" si="12"/>
        <v>0.7</v>
      </c>
      <c r="CZ37" s="60" t="s">
        <v>55</v>
      </c>
      <c r="DA37" s="60">
        <v>2513200137</v>
      </c>
      <c r="DB37" s="60">
        <v>10</v>
      </c>
      <c r="DC37" s="61">
        <f t="shared" si="13"/>
        <v>50</v>
      </c>
      <c r="DD37" s="60">
        <f t="shared" si="14"/>
        <v>0.625</v>
      </c>
      <c r="DE37" s="60">
        <f t="shared" si="15"/>
        <v>0.7</v>
      </c>
      <c r="DF37" s="60">
        <f t="shared" si="16"/>
        <v>61.325000000000003</v>
      </c>
      <c r="DG37" s="60">
        <f t="shared" si="17"/>
        <v>44</v>
      </c>
      <c r="DH37" s="61">
        <f t="shared" si="18"/>
        <v>500</v>
      </c>
      <c r="DI37" s="60">
        <f t="shared" si="19"/>
        <v>41</v>
      </c>
    </row>
    <row r="38" spans="1:113" ht="15.65" customHeight="1">
      <c r="A38" s="42" t="s">
        <v>56</v>
      </c>
      <c r="B38" s="43">
        <v>2513200139</v>
      </c>
      <c r="C38" s="44" t="s">
        <v>279</v>
      </c>
      <c r="D38" s="45">
        <v>95</v>
      </c>
      <c r="E38" s="45">
        <v>94</v>
      </c>
      <c r="F38" s="45">
        <v>78</v>
      </c>
      <c r="G38" s="45">
        <v>81.5</v>
      </c>
      <c r="H38" s="45">
        <v>87</v>
      </c>
      <c r="I38" s="45">
        <v>86.5</v>
      </c>
      <c r="J38" s="45">
        <v>88</v>
      </c>
      <c r="K38" s="45">
        <v>80.5</v>
      </c>
      <c r="L38" s="48">
        <f t="shared" si="0"/>
        <v>87.142857142857096</v>
      </c>
      <c r="M38" s="44">
        <f t="shared" si="1"/>
        <v>1</v>
      </c>
      <c r="N38" s="49">
        <v>6</v>
      </c>
      <c r="O38" s="44">
        <f>N38-M38</f>
        <v>5</v>
      </c>
      <c r="P38" s="50">
        <f t="shared" si="2"/>
        <v>61</v>
      </c>
      <c r="Q38" s="44"/>
      <c r="R38" s="44">
        <f t="shared" si="3"/>
        <v>0</v>
      </c>
      <c r="S38" s="44">
        <v>1</v>
      </c>
      <c r="T38" s="44">
        <v>0.5</v>
      </c>
      <c r="U38" s="44"/>
      <c r="V38" s="48">
        <f t="shared" si="4"/>
        <v>62.5</v>
      </c>
      <c r="W38" s="44">
        <f t="shared" si="5"/>
        <v>1</v>
      </c>
      <c r="X38" s="53" t="s">
        <v>280</v>
      </c>
      <c r="Y38" s="54">
        <v>80.5</v>
      </c>
      <c r="Z38" s="53">
        <f t="shared" si="6"/>
        <v>1.0249999999999999</v>
      </c>
      <c r="AA38" s="55" t="s">
        <v>281</v>
      </c>
      <c r="AB38" s="55">
        <v>4</v>
      </c>
      <c r="AC38" s="55">
        <v>4</v>
      </c>
      <c r="AD38" s="55">
        <v>2</v>
      </c>
      <c r="AE38" s="55"/>
      <c r="AF38" s="55"/>
      <c r="AG38" s="55">
        <v>10</v>
      </c>
      <c r="AH38" s="56" t="s">
        <v>282</v>
      </c>
      <c r="AI38" s="56">
        <v>1</v>
      </c>
      <c r="AJ38" s="56" t="s">
        <v>283</v>
      </c>
      <c r="AK38" s="56">
        <v>2.5</v>
      </c>
      <c r="AL38" s="56"/>
      <c r="AM38" s="56"/>
      <c r="AN38" s="56"/>
      <c r="AO38" s="56"/>
      <c r="AP38" s="56">
        <v>0.5</v>
      </c>
      <c r="AQ38" s="56">
        <v>2</v>
      </c>
      <c r="AR38" s="56">
        <f t="shared" si="7"/>
        <v>5</v>
      </c>
      <c r="AS38" s="56" t="s">
        <v>284</v>
      </c>
      <c r="AT38" s="56">
        <v>3</v>
      </c>
      <c r="AU38" s="56">
        <v>0.5</v>
      </c>
      <c r="AV38" s="56"/>
      <c r="AW38" s="56"/>
      <c r="AX38" s="56"/>
      <c r="AY38" s="56">
        <v>0.5</v>
      </c>
      <c r="AZ38" s="56">
        <v>3</v>
      </c>
      <c r="BA38" s="56">
        <v>1</v>
      </c>
      <c r="BB38" s="56" t="s">
        <v>285</v>
      </c>
      <c r="BC38" s="56"/>
      <c r="BD38" s="56">
        <v>2</v>
      </c>
      <c r="BE38" s="56"/>
      <c r="BF38" s="56"/>
      <c r="BG38" s="56">
        <v>0.5</v>
      </c>
      <c r="BH38" s="56">
        <v>0.3</v>
      </c>
      <c r="BI38" s="56">
        <v>0.3</v>
      </c>
      <c r="BJ38" s="56">
        <v>0.5</v>
      </c>
      <c r="BK38" s="56">
        <v>0.5</v>
      </c>
      <c r="BL38" s="56"/>
      <c r="BM38" s="56">
        <v>0.3</v>
      </c>
      <c r="BN38" s="56">
        <v>0.8</v>
      </c>
      <c r="BO38" s="56">
        <v>0.5</v>
      </c>
      <c r="BP38" s="56">
        <v>0.3</v>
      </c>
      <c r="BQ38" s="56">
        <v>0.8</v>
      </c>
      <c r="BR38" s="56"/>
      <c r="BS38" s="56"/>
      <c r="BT38" s="56"/>
      <c r="BU38" s="56"/>
      <c r="BV38" s="56"/>
      <c r="BW38" s="56"/>
      <c r="BX38" s="56"/>
      <c r="BY38" s="56"/>
      <c r="BZ38" s="56"/>
      <c r="CA38" s="56">
        <v>0.5</v>
      </c>
      <c r="CB38" s="56"/>
      <c r="CC38" s="56"/>
      <c r="CD38" s="56"/>
      <c r="CE38" s="56"/>
      <c r="CF38" s="56"/>
      <c r="CG38" s="56"/>
      <c r="CH38" s="56"/>
      <c r="CI38" s="56">
        <v>0.3</v>
      </c>
      <c r="CJ38" s="56"/>
      <c r="CK38" s="56"/>
      <c r="CL38" s="56"/>
      <c r="CM38" s="56"/>
      <c r="CN38" s="56"/>
      <c r="CO38" s="56"/>
      <c r="CP38" s="56"/>
      <c r="CQ38" s="56"/>
      <c r="CR38" s="56">
        <v>0.8</v>
      </c>
      <c r="CS38" s="56"/>
      <c r="CT38" s="56">
        <v>0.3</v>
      </c>
      <c r="CU38" s="56"/>
      <c r="CV38" s="56">
        <f t="shared" si="9"/>
        <v>8.6999999999999993</v>
      </c>
      <c r="CW38" s="56">
        <f t="shared" si="10"/>
        <v>4</v>
      </c>
      <c r="CX38" s="56">
        <f t="shared" si="11"/>
        <v>4.7</v>
      </c>
      <c r="CY38" s="56">
        <f t="shared" si="12"/>
        <v>13</v>
      </c>
      <c r="CZ38" s="60" t="s">
        <v>56</v>
      </c>
      <c r="DA38" s="60">
        <v>2513200139</v>
      </c>
      <c r="DB38" s="60">
        <v>10</v>
      </c>
      <c r="DC38" s="61">
        <f t="shared" si="13"/>
        <v>62.5</v>
      </c>
      <c r="DD38" s="60">
        <f t="shared" si="14"/>
        <v>1.0249999999999999</v>
      </c>
      <c r="DE38" s="60">
        <f t="shared" si="15"/>
        <v>13</v>
      </c>
      <c r="DF38" s="60">
        <f t="shared" si="16"/>
        <v>86.525000000000006</v>
      </c>
      <c r="DG38" s="60">
        <f t="shared" si="17"/>
        <v>1</v>
      </c>
      <c r="DH38" s="61">
        <f t="shared" si="18"/>
        <v>610</v>
      </c>
      <c r="DI38" s="60">
        <f t="shared" si="19"/>
        <v>1</v>
      </c>
    </row>
    <row r="39" spans="1:113" ht="15.65" customHeight="1">
      <c r="A39" s="42" t="s">
        <v>57</v>
      </c>
      <c r="B39" s="43">
        <v>2513200140</v>
      </c>
      <c r="C39" s="44" t="s">
        <v>279</v>
      </c>
      <c r="D39" s="45">
        <v>90</v>
      </c>
      <c r="E39" s="45">
        <v>75</v>
      </c>
      <c r="F39" s="45">
        <v>63</v>
      </c>
      <c r="G39" s="45">
        <v>60</v>
      </c>
      <c r="H39" s="45">
        <v>78</v>
      </c>
      <c r="I39" s="45">
        <v>74</v>
      </c>
      <c r="J39" s="45">
        <v>78.5</v>
      </c>
      <c r="K39" s="45">
        <v>79</v>
      </c>
      <c r="L39" s="48">
        <f t="shared" si="0"/>
        <v>74.071428571428598</v>
      </c>
      <c r="M39" s="44">
        <f t="shared" si="1"/>
        <v>32</v>
      </c>
      <c r="N39" s="49">
        <v>42</v>
      </c>
      <c r="O39" s="44">
        <f>N39-M39</f>
        <v>10</v>
      </c>
      <c r="P39" s="48">
        <f t="shared" si="2"/>
        <v>51.85</v>
      </c>
      <c r="Q39" s="44"/>
      <c r="R39" s="44">
        <f t="shared" si="3"/>
        <v>0</v>
      </c>
      <c r="S39" s="44"/>
      <c r="T39" s="44">
        <v>0.5</v>
      </c>
      <c r="U39" s="44">
        <v>1</v>
      </c>
      <c r="V39" s="48">
        <f t="shared" si="4"/>
        <v>53.35</v>
      </c>
      <c r="W39" s="44">
        <f t="shared" si="5"/>
        <v>29</v>
      </c>
      <c r="X39" s="53" t="s">
        <v>280</v>
      </c>
      <c r="Y39" s="54">
        <v>79</v>
      </c>
      <c r="Z39" s="53">
        <f t="shared" si="6"/>
        <v>0.95</v>
      </c>
      <c r="AA39" s="55" t="s">
        <v>281</v>
      </c>
      <c r="AB39" s="55">
        <v>4</v>
      </c>
      <c r="AC39" s="55">
        <v>4</v>
      </c>
      <c r="AD39" s="55">
        <v>2</v>
      </c>
      <c r="AE39" s="55"/>
      <c r="AF39" s="55"/>
      <c r="AG39" s="55">
        <v>10</v>
      </c>
      <c r="AH39" s="56" t="s">
        <v>282</v>
      </c>
      <c r="AI39" s="56"/>
      <c r="AJ39" s="56" t="s">
        <v>283</v>
      </c>
      <c r="AK39" s="56">
        <v>2.5</v>
      </c>
      <c r="AL39" s="56"/>
      <c r="AM39" s="56"/>
      <c r="AN39" s="56"/>
      <c r="AO39" s="56"/>
      <c r="AP39" s="56"/>
      <c r="AQ39" s="56"/>
      <c r="AR39" s="56">
        <f t="shared" si="7"/>
        <v>2.5</v>
      </c>
      <c r="AS39" s="56" t="s">
        <v>284</v>
      </c>
      <c r="AT39" s="56"/>
      <c r="AU39" s="56"/>
      <c r="AV39" s="56"/>
      <c r="AW39" s="56"/>
      <c r="AX39" s="56"/>
      <c r="AY39" s="56"/>
      <c r="AZ39" s="56">
        <f t="shared" ref="AZ39:AZ47" si="22">SUM(AT39:AY39)</f>
        <v>0</v>
      </c>
      <c r="BA39" s="56"/>
      <c r="BB39" s="56" t="s">
        <v>285</v>
      </c>
      <c r="BC39" s="56"/>
      <c r="BD39" s="56"/>
      <c r="BE39" s="56">
        <v>1</v>
      </c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>
        <v>0.5</v>
      </c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>
        <v>0.2</v>
      </c>
      <c r="CS39" s="56"/>
      <c r="CT39" s="56"/>
      <c r="CU39" s="56"/>
      <c r="CV39" s="56">
        <f t="shared" si="9"/>
        <v>1.7</v>
      </c>
      <c r="CW39" s="56">
        <f t="shared" si="10"/>
        <v>1.7</v>
      </c>
      <c r="CX39" s="56">
        <f t="shared" si="11"/>
        <v>0</v>
      </c>
      <c r="CY39" s="56">
        <f t="shared" si="12"/>
        <v>4.2</v>
      </c>
      <c r="CZ39" s="60" t="s">
        <v>57</v>
      </c>
      <c r="DA39" s="60">
        <v>2513200140</v>
      </c>
      <c r="DB39" s="60">
        <v>10</v>
      </c>
      <c r="DC39" s="61">
        <f t="shared" si="13"/>
        <v>53.35</v>
      </c>
      <c r="DD39" s="60">
        <f t="shared" si="14"/>
        <v>0.95</v>
      </c>
      <c r="DE39" s="60">
        <f t="shared" si="15"/>
        <v>4.2</v>
      </c>
      <c r="DF39" s="60">
        <f t="shared" si="16"/>
        <v>68.5</v>
      </c>
      <c r="DG39" s="60">
        <f t="shared" si="17"/>
        <v>26</v>
      </c>
      <c r="DH39" s="61">
        <f t="shared" si="18"/>
        <v>518.5</v>
      </c>
      <c r="DI39" s="60">
        <f t="shared" si="19"/>
        <v>32</v>
      </c>
    </row>
    <row r="40" spans="1:113" ht="15.65" customHeight="1">
      <c r="A40" s="42" t="s">
        <v>58</v>
      </c>
      <c r="B40" s="43">
        <v>2513200141</v>
      </c>
      <c r="C40" s="44" t="s">
        <v>279</v>
      </c>
      <c r="D40" s="45">
        <v>82.5</v>
      </c>
      <c r="E40" s="45">
        <v>80.5</v>
      </c>
      <c r="F40" s="45">
        <v>72</v>
      </c>
      <c r="G40" s="45">
        <v>90.5</v>
      </c>
      <c r="H40" s="45">
        <v>84</v>
      </c>
      <c r="I40" s="45">
        <v>81.5</v>
      </c>
      <c r="J40" s="45">
        <v>86</v>
      </c>
      <c r="K40" s="45">
        <v>75</v>
      </c>
      <c r="L40" s="48">
        <f t="shared" si="0"/>
        <v>82.428571428571402</v>
      </c>
      <c r="M40" s="44">
        <f t="shared" si="1"/>
        <v>12</v>
      </c>
      <c r="N40" s="49">
        <v>3</v>
      </c>
      <c r="O40" s="44">
        <v>0</v>
      </c>
      <c r="P40" s="52">
        <f t="shared" si="2"/>
        <v>57.7</v>
      </c>
      <c r="Q40" s="44"/>
      <c r="R40" s="44">
        <f t="shared" si="3"/>
        <v>0</v>
      </c>
      <c r="S40" s="44"/>
      <c r="T40" s="44"/>
      <c r="U40" s="44"/>
      <c r="V40" s="48">
        <f t="shared" si="4"/>
        <v>57.7</v>
      </c>
      <c r="W40" s="44">
        <f t="shared" si="5"/>
        <v>14</v>
      </c>
      <c r="X40" s="53" t="s">
        <v>280</v>
      </c>
      <c r="Y40" s="54">
        <v>75</v>
      </c>
      <c r="Z40" s="53">
        <f t="shared" si="6"/>
        <v>0.75</v>
      </c>
      <c r="AA40" s="55" t="s">
        <v>281</v>
      </c>
      <c r="AB40" s="55">
        <v>4</v>
      </c>
      <c r="AC40" s="55">
        <v>4</v>
      </c>
      <c r="AD40" s="55">
        <v>2</v>
      </c>
      <c r="AE40" s="55"/>
      <c r="AF40" s="55"/>
      <c r="AG40" s="55">
        <v>10</v>
      </c>
      <c r="AH40" s="56" t="s">
        <v>282</v>
      </c>
      <c r="AI40" s="56"/>
      <c r="AJ40" s="56" t="s">
        <v>283</v>
      </c>
      <c r="AK40" s="56"/>
      <c r="AL40" s="56"/>
      <c r="AM40" s="56"/>
      <c r="AN40" s="56"/>
      <c r="AO40" s="56"/>
      <c r="AP40" s="56">
        <v>0.5</v>
      </c>
      <c r="AQ40" s="56"/>
      <c r="AR40" s="56">
        <f t="shared" si="7"/>
        <v>0.5</v>
      </c>
      <c r="AS40" s="56" t="s">
        <v>284</v>
      </c>
      <c r="AT40" s="56"/>
      <c r="AU40" s="56"/>
      <c r="AV40" s="56"/>
      <c r="AW40" s="56"/>
      <c r="AX40" s="56"/>
      <c r="AY40" s="56">
        <v>0.5</v>
      </c>
      <c r="AZ40" s="56">
        <f t="shared" si="22"/>
        <v>0.5</v>
      </c>
      <c r="BA40" s="56"/>
      <c r="BB40" s="56" t="s">
        <v>285</v>
      </c>
      <c r="BC40" s="56"/>
      <c r="BD40" s="56"/>
      <c r="BE40" s="56">
        <v>1</v>
      </c>
      <c r="BF40" s="56"/>
      <c r="BG40" s="56"/>
      <c r="BH40" s="56"/>
      <c r="BI40" s="56"/>
      <c r="BJ40" s="56"/>
      <c r="BK40" s="56"/>
      <c r="BL40" s="56"/>
      <c r="BM40" s="56">
        <v>0.3</v>
      </c>
      <c r="BN40" s="56"/>
      <c r="BO40" s="56"/>
      <c r="BP40" s="56">
        <v>0.3</v>
      </c>
      <c r="BQ40" s="56"/>
      <c r="BR40" s="56"/>
      <c r="BS40" s="56"/>
      <c r="BT40" s="56"/>
      <c r="BU40" s="56">
        <v>0.5</v>
      </c>
      <c r="BV40" s="56"/>
      <c r="BW40" s="56"/>
      <c r="BX40" s="56"/>
      <c r="BY40" s="56"/>
      <c r="BZ40" s="56"/>
      <c r="CA40" s="56"/>
      <c r="CB40" s="56"/>
      <c r="CC40" s="56">
        <v>0.3</v>
      </c>
      <c r="CD40" s="56"/>
      <c r="CE40" s="56"/>
      <c r="CF40" s="56"/>
      <c r="CG40" s="56"/>
      <c r="CH40" s="56"/>
      <c r="CI40" s="56">
        <v>0.3</v>
      </c>
      <c r="CJ40" s="56"/>
      <c r="CK40" s="56"/>
      <c r="CL40" s="56"/>
      <c r="CM40" s="56"/>
      <c r="CN40" s="56"/>
      <c r="CO40" s="56"/>
      <c r="CP40" s="56"/>
      <c r="CQ40" s="56"/>
      <c r="CR40" s="56">
        <v>0.2</v>
      </c>
      <c r="CS40" s="56"/>
      <c r="CT40" s="56"/>
      <c r="CU40" s="56"/>
      <c r="CV40" s="56">
        <f t="shared" si="9"/>
        <v>2.9</v>
      </c>
      <c r="CW40" s="56">
        <f t="shared" si="10"/>
        <v>2.9</v>
      </c>
      <c r="CX40" s="56">
        <f t="shared" si="11"/>
        <v>0</v>
      </c>
      <c r="CY40" s="56">
        <f t="shared" si="12"/>
        <v>3.9</v>
      </c>
      <c r="CZ40" s="60" t="s">
        <v>58</v>
      </c>
      <c r="DA40" s="60">
        <v>2513200141</v>
      </c>
      <c r="DB40" s="60">
        <v>10</v>
      </c>
      <c r="DC40" s="61">
        <f t="shared" si="13"/>
        <v>57.7</v>
      </c>
      <c r="DD40" s="60">
        <f t="shared" si="14"/>
        <v>0.75</v>
      </c>
      <c r="DE40" s="60">
        <f t="shared" si="15"/>
        <v>3.9</v>
      </c>
      <c r="DF40" s="60">
        <f t="shared" si="16"/>
        <v>72.349999999999994</v>
      </c>
      <c r="DG40" s="60">
        <f t="shared" si="17"/>
        <v>15</v>
      </c>
      <c r="DH40" s="61">
        <f t="shared" si="18"/>
        <v>577</v>
      </c>
      <c r="DI40" s="60">
        <f t="shared" si="19"/>
        <v>12</v>
      </c>
    </row>
    <row r="41" spans="1:113" ht="15.65" customHeight="1">
      <c r="A41" s="42" t="s">
        <v>59</v>
      </c>
      <c r="B41" s="43">
        <v>2513200142</v>
      </c>
      <c r="C41" s="44" t="s">
        <v>279</v>
      </c>
      <c r="D41" s="45">
        <v>82</v>
      </c>
      <c r="E41" s="45">
        <v>77</v>
      </c>
      <c r="F41" s="45">
        <v>67</v>
      </c>
      <c r="G41" s="45">
        <v>85</v>
      </c>
      <c r="H41" s="45">
        <v>75.5</v>
      </c>
      <c r="I41" s="45">
        <v>85.5</v>
      </c>
      <c r="J41" s="45">
        <v>76.5</v>
      </c>
      <c r="K41" s="45">
        <v>62</v>
      </c>
      <c r="L41" s="48">
        <f t="shared" si="0"/>
        <v>78.357142857142904</v>
      </c>
      <c r="M41" s="44">
        <f t="shared" si="1"/>
        <v>23</v>
      </c>
      <c r="N41" s="49">
        <v>32</v>
      </c>
      <c r="O41" s="44">
        <f>N41-M41</f>
        <v>9</v>
      </c>
      <c r="P41" s="48">
        <f t="shared" si="2"/>
        <v>54.85</v>
      </c>
      <c r="Q41" s="44"/>
      <c r="R41" s="44">
        <f t="shared" si="3"/>
        <v>0</v>
      </c>
      <c r="S41" s="44"/>
      <c r="T41" s="44"/>
      <c r="U41" s="44"/>
      <c r="V41" s="48">
        <f t="shared" si="4"/>
        <v>54.85</v>
      </c>
      <c r="W41" s="44">
        <f t="shared" si="5"/>
        <v>23</v>
      </c>
      <c r="X41" s="53" t="s">
        <v>280</v>
      </c>
      <c r="Y41" s="54">
        <v>62</v>
      </c>
      <c r="Z41" s="53">
        <f t="shared" si="6"/>
        <v>0.1</v>
      </c>
      <c r="AA41" s="55" t="s">
        <v>281</v>
      </c>
      <c r="AB41" s="55">
        <v>4</v>
      </c>
      <c r="AC41" s="55">
        <v>4</v>
      </c>
      <c r="AD41" s="55">
        <v>2</v>
      </c>
      <c r="AE41" s="55"/>
      <c r="AF41" s="55"/>
      <c r="AG41" s="55">
        <v>10</v>
      </c>
      <c r="AH41" s="56" t="s">
        <v>282</v>
      </c>
      <c r="AI41" s="56"/>
      <c r="AJ41" s="56" t="s">
        <v>283</v>
      </c>
      <c r="AK41" s="56"/>
      <c r="AL41" s="56"/>
      <c r="AM41" s="56"/>
      <c r="AN41" s="56"/>
      <c r="AO41" s="56"/>
      <c r="AP41" s="56">
        <v>0.5</v>
      </c>
      <c r="AQ41" s="56">
        <v>0.5</v>
      </c>
      <c r="AR41" s="56">
        <f t="shared" si="7"/>
        <v>1</v>
      </c>
      <c r="AS41" s="56" t="s">
        <v>284</v>
      </c>
      <c r="AT41" s="56">
        <v>1.5</v>
      </c>
      <c r="AU41" s="56"/>
      <c r="AV41" s="56"/>
      <c r="AW41" s="56"/>
      <c r="AX41" s="56"/>
      <c r="AY41" s="56">
        <v>0.5</v>
      </c>
      <c r="AZ41" s="56">
        <f t="shared" si="22"/>
        <v>2</v>
      </c>
      <c r="BA41" s="56"/>
      <c r="BB41" s="56" t="s">
        <v>285</v>
      </c>
      <c r="BC41" s="56"/>
      <c r="BD41" s="56">
        <v>1</v>
      </c>
      <c r="BE41" s="56"/>
      <c r="BF41" s="56"/>
      <c r="BG41" s="56"/>
      <c r="BH41" s="56">
        <v>0.3</v>
      </c>
      <c r="BI41" s="56"/>
      <c r="BJ41" s="56"/>
      <c r="BK41" s="56"/>
      <c r="BL41" s="56"/>
      <c r="BM41" s="56">
        <v>0.3</v>
      </c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>
        <v>1</v>
      </c>
      <c r="BZ41" s="56"/>
      <c r="CA41" s="56">
        <v>0.5</v>
      </c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>
        <v>0.2</v>
      </c>
      <c r="CS41" s="56"/>
      <c r="CT41" s="56"/>
      <c r="CU41" s="56"/>
      <c r="CV41" s="56">
        <f t="shared" si="9"/>
        <v>3.3</v>
      </c>
      <c r="CW41" s="56">
        <f t="shared" si="10"/>
        <v>3.3</v>
      </c>
      <c r="CX41" s="56">
        <f t="shared" si="11"/>
        <v>0</v>
      </c>
      <c r="CY41" s="56">
        <f t="shared" si="12"/>
        <v>6.3</v>
      </c>
      <c r="CZ41" s="60" t="s">
        <v>59</v>
      </c>
      <c r="DA41" s="60">
        <v>2513200142</v>
      </c>
      <c r="DB41" s="60">
        <v>10</v>
      </c>
      <c r="DC41" s="61">
        <f t="shared" si="13"/>
        <v>54.85</v>
      </c>
      <c r="DD41" s="60">
        <f t="shared" si="14"/>
        <v>0.1</v>
      </c>
      <c r="DE41" s="60">
        <f t="shared" si="15"/>
        <v>6.3</v>
      </c>
      <c r="DF41" s="60">
        <f t="shared" si="16"/>
        <v>71.25</v>
      </c>
      <c r="DG41" s="60">
        <f t="shared" si="17"/>
        <v>19</v>
      </c>
      <c r="DH41" s="61">
        <f t="shared" si="18"/>
        <v>548.5</v>
      </c>
      <c r="DI41" s="60">
        <f t="shared" si="19"/>
        <v>23</v>
      </c>
    </row>
    <row r="42" spans="1:113" ht="15.65" customHeight="1">
      <c r="A42" s="42" t="s">
        <v>60</v>
      </c>
      <c r="B42" s="43">
        <v>2513200143</v>
      </c>
      <c r="C42" s="44" t="s">
        <v>279</v>
      </c>
      <c r="D42" s="45">
        <v>78</v>
      </c>
      <c r="E42" s="45">
        <v>88</v>
      </c>
      <c r="F42" s="45">
        <v>74.5</v>
      </c>
      <c r="G42" s="45">
        <v>88.5</v>
      </c>
      <c r="H42" s="45">
        <v>81.5</v>
      </c>
      <c r="I42" s="45">
        <v>83</v>
      </c>
      <c r="J42" s="45">
        <v>84</v>
      </c>
      <c r="K42" s="45">
        <v>77</v>
      </c>
      <c r="L42" s="48">
        <f t="shared" si="0"/>
        <v>82.5</v>
      </c>
      <c r="M42" s="44">
        <f t="shared" si="1"/>
        <v>11</v>
      </c>
      <c r="N42" s="49">
        <v>17</v>
      </c>
      <c r="O42" s="44">
        <f>N42-M42</f>
        <v>6</v>
      </c>
      <c r="P42" s="48">
        <f t="shared" si="2"/>
        <v>57.75</v>
      </c>
      <c r="Q42" s="44"/>
      <c r="R42" s="44">
        <f t="shared" si="3"/>
        <v>0</v>
      </c>
      <c r="S42" s="44"/>
      <c r="T42" s="44"/>
      <c r="U42" s="44"/>
      <c r="V42" s="48">
        <f t="shared" si="4"/>
        <v>57.75</v>
      </c>
      <c r="W42" s="44">
        <f t="shared" si="5"/>
        <v>13</v>
      </c>
      <c r="X42" s="53" t="s">
        <v>280</v>
      </c>
      <c r="Y42" s="54">
        <v>77</v>
      </c>
      <c r="Z42" s="53">
        <f t="shared" si="6"/>
        <v>0.85</v>
      </c>
      <c r="AA42" s="55" t="s">
        <v>281</v>
      </c>
      <c r="AB42" s="55">
        <v>4</v>
      </c>
      <c r="AC42" s="55">
        <v>4</v>
      </c>
      <c r="AD42" s="55">
        <v>2</v>
      </c>
      <c r="AE42" s="55"/>
      <c r="AF42" s="55"/>
      <c r="AG42" s="55">
        <v>10</v>
      </c>
      <c r="AH42" s="56" t="s">
        <v>282</v>
      </c>
      <c r="AI42" s="56"/>
      <c r="AJ42" s="56" t="s">
        <v>283</v>
      </c>
      <c r="AK42" s="56"/>
      <c r="AL42" s="56"/>
      <c r="AM42" s="56"/>
      <c r="AN42" s="56"/>
      <c r="AO42" s="56"/>
      <c r="AP42" s="56"/>
      <c r="AQ42" s="56"/>
      <c r="AR42" s="56">
        <f t="shared" si="7"/>
        <v>0</v>
      </c>
      <c r="AS42" s="56" t="s">
        <v>284</v>
      </c>
      <c r="AT42" s="56"/>
      <c r="AU42" s="56">
        <v>0.5</v>
      </c>
      <c r="AV42" s="56">
        <v>1</v>
      </c>
      <c r="AW42" s="56">
        <v>0.5</v>
      </c>
      <c r="AX42" s="56"/>
      <c r="AY42" s="56"/>
      <c r="AZ42" s="56">
        <f t="shared" si="22"/>
        <v>2</v>
      </c>
      <c r="BA42" s="56"/>
      <c r="BB42" s="56" t="s">
        <v>285</v>
      </c>
      <c r="BC42" s="56"/>
      <c r="BD42" s="56">
        <v>1</v>
      </c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>
        <v>1</v>
      </c>
      <c r="CE42" s="56"/>
      <c r="CF42" s="56"/>
      <c r="CG42" s="56">
        <v>0.5</v>
      </c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>
        <v>0.2</v>
      </c>
      <c r="CS42" s="56"/>
      <c r="CT42" s="56"/>
      <c r="CU42" s="56"/>
      <c r="CV42" s="56">
        <f t="shared" si="9"/>
        <v>2.7</v>
      </c>
      <c r="CW42" s="56">
        <f t="shared" si="10"/>
        <v>2.7</v>
      </c>
      <c r="CX42" s="56">
        <f t="shared" si="11"/>
        <v>0</v>
      </c>
      <c r="CY42" s="56">
        <f t="shared" si="12"/>
        <v>4.7</v>
      </c>
      <c r="CZ42" s="60" t="s">
        <v>60</v>
      </c>
      <c r="DA42" s="60">
        <v>2513200143</v>
      </c>
      <c r="DB42" s="60">
        <v>10</v>
      </c>
      <c r="DC42" s="61">
        <f t="shared" si="13"/>
        <v>57.75</v>
      </c>
      <c r="DD42" s="60">
        <f t="shared" si="14"/>
        <v>0.85</v>
      </c>
      <c r="DE42" s="60">
        <f t="shared" si="15"/>
        <v>4.7</v>
      </c>
      <c r="DF42" s="60">
        <f t="shared" si="16"/>
        <v>73.3</v>
      </c>
      <c r="DG42" s="60">
        <f t="shared" si="17"/>
        <v>13</v>
      </c>
      <c r="DH42" s="61">
        <f t="shared" si="18"/>
        <v>577.5</v>
      </c>
      <c r="DI42" s="60">
        <f t="shared" si="19"/>
        <v>11</v>
      </c>
    </row>
    <row r="43" spans="1:113" ht="15.65" customHeight="1">
      <c r="A43" s="42" t="s">
        <v>61</v>
      </c>
      <c r="B43" s="47">
        <v>2513200144</v>
      </c>
      <c r="C43" s="44" t="s">
        <v>279</v>
      </c>
      <c r="D43" s="45">
        <v>83</v>
      </c>
      <c r="E43" s="45">
        <v>71.5</v>
      </c>
      <c r="F43" s="45">
        <v>57.5</v>
      </c>
      <c r="G43" s="45">
        <v>60.5</v>
      </c>
      <c r="H43" s="45">
        <v>76</v>
      </c>
      <c r="I43" s="45">
        <v>79</v>
      </c>
      <c r="J43" s="45">
        <v>73.5</v>
      </c>
      <c r="K43" s="45">
        <v>79.5</v>
      </c>
      <c r="L43" s="48">
        <f t="shared" si="0"/>
        <v>71.571428571428598</v>
      </c>
      <c r="M43" s="44">
        <f t="shared" si="1"/>
        <v>38</v>
      </c>
      <c r="N43" s="49">
        <v>7</v>
      </c>
      <c r="O43" s="44">
        <v>0</v>
      </c>
      <c r="P43" s="48">
        <f t="shared" si="2"/>
        <v>50.1</v>
      </c>
      <c r="Q43" s="44">
        <v>1</v>
      </c>
      <c r="R43" s="44">
        <f t="shared" si="3"/>
        <v>0.5</v>
      </c>
      <c r="S43" s="44"/>
      <c r="T43" s="44"/>
      <c r="U43" s="44"/>
      <c r="V43" s="48">
        <f t="shared" si="4"/>
        <v>49.6</v>
      </c>
      <c r="W43" s="44">
        <f t="shared" si="5"/>
        <v>40</v>
      </c>
      <c r="X43" s="53" t="s">
        <v>280</v>
      </c>
      <c r="Y43" s="54">
        <v>79.5</v>
      </c>
      <c r="Z43" s="53">
        <f t="shared" si="6"/>
        <v>0.97499999999999998</v>
      </c>
      <c r="AA43" s="55" t="s">
        <v>281</v>
      </c>
      <c r="AB43" s="55">
        <v>4</v>
      </c>
      <c r="AC43" s="55">
        <v>4</v>
      </c>
      <c r="AD43" s="55">
        <v>2</v>
      </c>
      <c r="AE43" s="55"/>
      <c r="AF43" s="55"/>
      <c r="AG43" s="55">
        <v>10</v>
      </c>
      <c r="AH43" s="56" t="s">
        <v>282</v>
      </c>
      <c r="AI43" s="56">
        <v>1</v>
      </c>
      <c r="AJ43" s="56" t="s">
        <v>283</v>
      </c>
      <c r="AK43" s="56"/>
      <c r="AL43" s="56"/>
      <c r="AM43" s="56"/>
      <c r="AN43" s="56"/>
      <c r="AO43" s="56"/>
      <c r="AP43" s="56">
        <v>0.5</v>
      </c>
      <c r="AQ43" s="56"/>
      <c r="AR43" s="56">
        <f t="shared" si="7"/>
        <v>0.5</v>
      </c>
      <c r="AS43" s="56" t="s">
        <v>284</v>
      </c>
      <c r="AT43" s="56"/>
      <c r="AU43" s="56"/>
      <c r="AV43" s="56"/>
      <c r="AW43" s="56"/>
      <c r="AX43" s="56"/>
      <c r="AY43" s="56"/>
      <c r="AZ43" s="56">
        <f t="shared" si="22"/>
        <v>0</v>
      </c>
      <c r="BA43" s="56"/>
      <c r="BB43" s="56" t="s">
        <v>285</v>
      </c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>
        <v>0.5</v>
      </c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>
        <v>0.2</v>
      </c>
      <c r="CS43" s="56"/>
      <c r="CT43" s="56"/>
      <c r="CU43" s="56"/>
      <c r="CV43" s="56">
        <f t="shared" si="9"/>
        <v>0.7</v>
      </c>
      <c r="CW43" s="56">
        <f t="shared" si="10"/>
        <v>0.7</v>
      </c>
      <c r="CX43" s="56">
        <f t="shared" si="11"/>
        <v>0</v>
      </c>
      <c r="CY43" s="56">
        <f t="shared" si="12"/>
        <v>2.2000000000000002</v>
      </c>
      <c r="CZ43" s="60" t="s">
        <v>61</v>
      </c>
      <c r="DA43" s="60">
        <v>2513200144</v>
      </c>
      <c r="DB43" s="60">
        <v>10</v>
      </c>
      <c r="DC43" s="61">
        <f t="shared" si="13"/>
        <v>49.6</v>
      </c>
      <c r="DD43" s="60">
        <f t="shared" si="14"/>
        <v>0.97499999999999998</v>
      </c>
      <c r="DE43" s="60">
        <f t="shared" si="15"/>
        <v>2.2000000000000002</v>
      </c>
      <c r="DF43" s="60">
        <f t="shared" si="16"/>
        <v>62.774999999999999</v>
      </c>
      <c r="DG43" s="60">
        <f t="shared" si="17"/>
        <v>39</v>
      </c>
      <c r="DH43" s="61">
        <f t="shared" si="18"/>
        <v>501</v>
      </c>
      <c r="DI43" s="60">
        <f t="shared" si="19"/>
        <v>38</v>
      </c>
    </row>
    <row r="44" spans="1:113" ht="15.65" customHeight="1">
      <c r="A44" s="42" t="s">
        <v>62</v>
      </c>
      <c r="B44" s="47">
        <v>2513200145</v>
      </c>
      <c r="C44" s="44" t="s">
        <v>279</v>
      </c>
      <c r="D44" s="45">
        <v>86</v>
      </c>
      <c r="E44" s="45">
        <v>74.5</v>
      </c>
      <c r="F44" s="45">
        <v>73</v>
      </c>
      <c r="G44" s="45">
        <v>82</v>
      </c>
      <c r="H44" s="45">
        <v>76</v>
      </c>
      <c r="I44" s="45">
        <v>79</v>
      </c>
      <c r="J44" s="45">
        <v>72</v>
      </c>
      <c r="K44" s="45">
        <v>74.5</v>
      </c>
      <c r="L44" s="48">
        <f t="shared" si="0"/>
        <v>77.5</v>
      </c>
      <c r="M44" s="44">
        <f t="shared" si="1"/>
        <v>26</v>
      </c>
      <c r="N44" s="49">
        <v>26</v>
      </c>
      <c r="O44" s="44">
        <v>0</v>
      </c>
      <c r="P44" s="48">
        <f t="shared" si="2"/>
        <v>54.25</v>
      </c>
      <c r="Q44" s="44"/>
      <c r="R44" s="44">
        <f t="shared" si="3"/>
        <v>0</v>
      </c>
      <c r="S44" s="44"/>
      <c r="T44" s="44"/>
      <c r="U44" s="44"/>
      <c r="V44" s="48">
        <f t="shared" si="4"/>
        <v>54.25</v>
      </c>
      <c r="W44" s="44">
        <f t="shared" si="5"/>
        <v>26</v>
      </c>
      <c r="X44" s="53" t="s">
        <v>280</v>
      </c>
      <c r="Y44" s="54">
        <v>74.5</v>
      </c>
      <c r="Z44" s="53">
        <f t="shared" si="6"/>
        <v>0.72499999999999998</v>
      </c>
      <c r="AA44" s="55" t="s">
        <v>281</v>
      </c>
      <c r="AB44" s="55">
        <v>4</v>
      </c>
      <c r="AC44" s="55">
        <v>4</v>
      </c>
      <c r="AD44" s="55">
        <v>2</v>
      </c>
      <c r="AE44" s="55"/>
      <c r="AF44" s="55"/>
      <c r="AG44" s="55">
        <v>10</v>
      </c>
      <c r="AH44" s="56" t="s">
        <v>282</v>
      </c>
      <c r="AI44" s="56"/>
      <c r="AJ44" s="56" t="s">
        <v>283</v>
      </c>
      <c r="AK44" s="56"/>
      <c r="AL44" s="56"/>
      <c r="AM44" s="56"/>
      <c r="AN44" s="56"/>
      <c r="AO44" s="56"/>
      <c r="AP44" s="56">
        <v>0.5</v>
      </c>
      <c r="AQ44" s="56"/>
      <c r="AR44" s="56">
        <f t="shared" si="7"/>
        <v>0.5</v>
      </c>
      <c r="AS44" s="56" t="s">
        <v>284</v>
      </c>
      <c r="AT44" s="56"/>
      <c r="AU44" s="56"/>
      <c r="AV44" s="56"/>
      <c r="AW44" s="56"/>
      <c r="AX44" s="56"/>
      <c r="AY44" s="56"/>
      <c r="AZ44" s="56">
        <f t="shared" si="22"/>
        <v>0</v>
      </c>
      <c r="BA44" s="56"/>
      <c r="BB44" s="56" t="s">
        <v>285</v>
      </c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>
        <v>0.7</v>
      </c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>
        <v>0.2</v>
      </c>
      <c r="CS44" s="56"/>
      <c r="CT44" s="56"/>
      <c r="CU44" s="56"/>
      <c r="CV44" s="56">
        <f t="shared" si="9"/>
        <v>0.9</v>
      </c>
      <c r="CW44" s="56">
        <f t="shared" si="10"/>
        <v>0.9</v>
      </c>
      <c r="CX44" s="56">
        <f t="shared" si="11"/>
        <v>0</v>
      </c>
      <c r="CY44" s="56">
        <f t="shared" si="12"/>
        <v>1.4</v>
      </c>
      <c r="CZ44" s="60" t="s">
        <v>62</v>
      </c>
      <c r="DA44" s="60">
        <v>2513200145</v>
      </c>
      <c r="DB44" s="60">
        <v>10</v>
      </c>
      <c r="DC44" s="61">
        <f t="shared" si="13"/>
        <v>54.25</v>
      </c>
      <c r="DD44" s="60">
        <f t="shared" si="14"/>
        <v>0.72499999999999998</v>
      </c>
      <c r="DE44" s="60">
        <f t="shared" si="15"/>
        <v>1.4</v>
      </c>
      <c r="DF44" s="60">
        <f t="shared" si="16"/>
        <v>66.375</v>
      </c>
      <c r="DG44" s="60">
        <f t="shared" si="17"/>
        <v>33</v>
      </c>
      <c r="DH44" s="61">
        <f t="shared" si="18"/>
        <v>542.5</v>
      </c>
      <c r="DI44" s="60">
        <f t="shared" si="19"/>
        <v>26</v>
      </c>
    </row>
    <row r="45" spans="1:113" ht="15.65" customHeight="1">
      <c r="A45" s="42" t="s">
        <v>63</v>
      </c>
      <c r="B45" s="47">
        <v>2605200111</v>
      </c>
      <c r="C45" s="44" t="s">
        <v>279</v>
      </c>
      <c r="D45" s="45">
        <v>73.5</v>
      </c>
      <c r="E45" s="45">
        <v>73</v>
      </c>
      <c r="F45" s="45">
        <v>64</v>
      </c>
      <c r="G45" s="45">
        <v>77.5</v>
      </c>
      <c r="H45" s="45">
        <v>62</v>
      </c>
      <c r="I45" s="44">
        <v>85</v>
      </c>
      <c r="J45" s="45">
        <v>88</v>
      </c>
      <c r="K45" s="45">
        <v>84.5</v>
      </c>
      <c r="L45" s="48">
        <f t="shared" si="0"/>
        <v>74.714285714285694</v>
      </c>
      <c r="M45" s="44">
        <f t="shared" si="1"/>
        <v>31</v>
      </c>
      <c r="N45" s="49"/>
      <c r="O45" s="44"/>
      <c r="P45" s="48">
        <f t="shared" si="2"/>
        <v>52.3</v>
      </c>
      <c r="Q45" s="44"/>
      <c r="R45" s="44">
        <f t="shared" si="3"/>
        <v>0</v>
      </c>
      <c r="S45" s="44"/>
      <c r="T45" s="44"/>
      <c r="U45" s="44"/>
      <c r="V45" s="48">
        <f t="shared" si="4"/>
        <v>52.3</v>
      </c>
      <c r="W45" s="44">
        <f t="shared" si="5"/>
        <v>32</v>
      </c>
      <c r="X45" s="53" t="s">
        <v>280</v>
      </c>
      <c r="Y45" s="54">
        <v>84.5</v>
      </c>
      <c r="Z45" s="53">
        <f t="shared" si="6"/>
        <v>1.2250000000000001</v>
      </c>
      <c r="AA45" s="55" t="s">
        <v>281</v>
      </c>
      <c r="AB45" s="55">
        <v>4</v>
      </c>
      <c r="AC45" s="55">
        <v>4</v>
      </c>
      <c r="AD45" s="55">
        <v>2</v>
      </c>
      <c r="AE45" s="55"/>
      <c r="AF45" s="55"/>
      <c r="AG45" s="55">
        <v>10</v>
      </c>
      <c r="AH45" s="56" t="s">
        <v>282</v>
      </c>
      <c r="AI45" s="56"/>
      <c r="AJ45" s="56" t="s">
        <v>283</v>
      </c>
      <c r="AK45" s="57">
        <v>2</v>
      </c>
      <c r="AL45" s="56"/>
      <c r="AM45" s="56"/>
      <c r="AN45" s="56"/>
      <c r="AO45" s="56"/>
      <c r="AP45" s="56"/>
      <c r="AQ45" s="56"/>
      <c r="AR45" s="57">
        <f t="shared" si="7"/>
        <v>2</v>
      </c>
      <c r="AS45" s="56" t="s">
        <v>284</v>
      </c>
      <c r="AT45" s="56"/>
      <c r="AU45" s="56"/>
      <c r="AV45" s="56"/>
      <c r="AW45" s="56"/>
      <c r="AX45" s="56"/>
      <c r="AY45" s="56"/>
      <c r="AZ45" s="56">
        <f t="shared" si="22"/>
        <v>0</v>
      </c>
      <c r="BA45" s="56"/>
      <c r="BB45" s="56" t="s">
        <v>285</v>
      </c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>
        <v>0.5</v>
      </c>
      <c r="CQ45" s="56"/>
      <c r="CR45" s="56">
        <v>0.2</v>
      </c>
      <c r="CS45" s="56"/>
      <c r="CT45" s="56"/>
      <c r="CU45" s="56"/>
      <c r="CV45" s="56">
        <f t="shared" si="9"/>
        <v>0.7</v>
      </c>
      <c r="CW45" s="56">
        <f t="shared" si="10"/>
        <v>0.7</v>
      </c>
      <c r="CX45" s="56">
        <f t="shared" si="11"/>
        <v>0</v>
      </c>
      <c r="CY45" s="56">
        <f t="shared" si="12"/>
        <v>2.7</v>
      </c>
      <c r="CZ45" s="60" t="s">
        <v>63</v>
      </c>
      <c r="DA45" s="60">
        <v>2605200111</v>
      </c>
      <c r="DB45" s="60">
        <v>10</v>
      </c>
      <c r="DC45" s="61">
        <f t="shared" si="13"/>
        <v>52.3</v>
      </c>
      <c r="DD45" s="60">
        <f t="shared" si="14"/>
        <v>1.2250000000000001</v>
      </c>
      <c r="DE45" s="60">
        <f t="shared" si="15"/>
        <v>2.7</v>
      </c>
      <c r="DF45" s="60">
        <f t="shared" si="16"/>
        <v>66.224999999999994</v>
      </c>
      <c r="DG45" s="60">
        <f t="shared" si="17"/>
        <v>35</v>
      </c>
      <c r="DH45" s="61">
        <f t="shared" si="18"/>
        <v>523</v>
      </c>
      <c r="DI45" s="60">
        <f t="shared" si="19"/>
        <v>31</v>
      </c>
    </row>
    <row r="46" spans="1:113" ht="15.65" customHeight="1">
      <c r="A46" s="42" t="s">
        <v>65</v>
      </c>
      <c r="B46" s="47">
        <v>2605200144</v>
      </c>
      <c r="C46" s="44" t="s">
        <v>279</v>
      </c>
      <c r="D46" s="45">
        <v>68.5</v>
      </c>
      <c r="E46" s="45">
        <v>77</v>
      </c>
      <c r="F46" s="45">
        <v>56.5</v>
      </c>
      <c r="G46" s="45">
        <v>78.5</v>
      </c>
      <c r="H46" s="45">
        <v>54.5</v>
      </c>
      <c r="I46" s="45">
        <v>87</v>
      </c>
      <c r="J46" s="45">
        <v>78.5</v>
      </c>
      <c r="K46" s="45">
        <v>84.5</v>
      </c>
      <c r="L46" s="48">
        <f t="shared" si="0"/>
        <v>71.5</v>
      </c>
      <c r="M46" s="44">
        <f t="shared" si="1"/>
        <v>40</v>
      </c>
      <c r="N46" s="49"/>
      <c r="O46" s="44"/>
      <c r="P46" s="48">
        <f t="shared" si="2"/>
        <v>50.05</v>
      </c>
      <c r="Q46" s="44">
        <v>2</v>
      </c>
      <c r="R46" s="44">
        <f t="shared" si="3"/>
        <v>1</v>
      </c>
      <c r="S46" s="44"/>
      <c r="T46" s="44"/>
      <c r="U46" s="44"/>
      <c r="V46" s="48">
        <f t="shared" si="4"/>
        <v>49.05</v>
      </c>
      <c r="W46" s="44">
        <f t="shared" si="5"/>
        <v>42</v>
      </c>
      <c r="X46" s="53" t="s">
        <v>280</v>
      </c>
      <c r="Y46" s="54">
        <v>84.5</v>
      </c>
      <c r="Z46" s="53">
        <f t="shared" si="6"/>
        <v>1.2250000000000001</v>
      </c>
      <c r="AA46" s="55" t="s">
        <v>281</v>
      </c>
      <c r="AB46" s="55">
        <v>4</v>
      </c>
      <c r="AC46" s="55">
        <v>4</v>
      </c>
      <c r="AD46" s="55">
        <v>2</v>
      </c>
      <c r="AE46" s="55"/>
      <c r="AF46" s="55"/>
      <c r="AG46" s="55">
        <v>10</v>
      </c>
      <c r="AH46" s="56" t="s">
        <v>282</v>
      </c>
      <c r="AI46" s="56"/>
      <c r="AJ46" s="56" t="s">
        <v>283</v>
      </c>
      <c r="AK46" s="56">
        <v>0.8</v>
      </c>
      <c r="AL46" s="56"/>
      <c r="AM46" s="56"/>
      <c r="AN46" s="56"/>
      <c r="AO46" s="56"/>
      <c r="AP46" s="56"/>
      <c r="AQ46" s="56"/>
      <c r="AR46" s="56">
        <f t="shared" si="7"/>
        <v>0.8</v>
      </c>
      <c r="AS46" s="56" t="s">
        <v>284</v>
      </c>
      <c r="AT46" s="56"/>
      <c r="AU46" s="56"/>
      <c r="AV46" s="56"/>
      <c r="AW46" s="56"/>
      <c r="AX46" s="56"/>
      <c r="AY46" s="56"/>
      <c r="AZ46" s="56">
        <f t="shared" si="22"/>
        <v>0</v>
      </c>
      <c r="BA46" s="56"/>
      <c r="BB46" s="56" t="s">
        <v>285</v>
      </c>
      <c r="BC46" s="56"/>
      <c r="BD46" s="56"/>
      <c r="BE46" s="56">
        <v>0.8</v>
      </c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>
        <v>0.2</v>
      </c>
      <c r="CS46" s="56"/>
      <c r="CT46" s="56"/>
      <c r="CU46" s="56"/>
      <c r="CV46" s="56">
        <f t="shared" si="9"/>
        <v>1</v>
      </c>
      <c r="CW46" s="56">
        <f t="shared" si="10"/>
        <v>1</v>
      </c>
      <c r="CX46" s="56">
        <f t="shared" si="11"/>
        <v>0</v>
      </c>
      <c r="CY46" s="56">
        <f t="shared" si="12"/>
        <v>1.8</v>
      </c>
      <c r="CZ46" s="60" t="s">
        <v>65</v>
      </c>
      <c r="DA46" s="60">
        <v>2605200144</v>
      </c>
      <c r="DB46" s="60">
        <v>10</v>
      </c>
      <c r="DC46" s="61">
        <f t="shared" si="13"/>
        <v>49.05</v>
      </c>
      <c r="DD46" s="60">
        <f t="shared" si="14"/>
        <v>1.2250000000000001</v>
      </c>
      <c r="DE46" s="60">
        <f t="shared" si="15"/>
        <v>1.8</v>
      </c>
      <c r="DF46" s="60">
        <f t="shared" si="16"/>
        <v>62.075000000000003</v>
      </c>
      <c r="DG46" s="60">
        <f t="shared" si="17"/>
        <v>41</v>
      </c>
      <c r="DH46" s="61">
        <f t="shared" si="18"/>
        <v>500.5</v>
      </c>
      <c r="DI46" s="60">
        <f t="shared" si="19"/>
        <v>40</v>
      </c>
    </row>
    <row r="47" spans="1:113" ht="15.65" customHeight="1">
      <c r="A47" s="42" t="s">
        <v>66</v>
      </c>
      <c r="B47" s="47">
        <v>2811190230</v>
      </c>
      <c r="C47" s="44" t="s">
        <v>279</v>
      </c>
      <c r="D47" s="45">
        <v>82.5</v>
      </c>
      <c r="E47" s="45">
        <v>83.5</v>
      </c>
      <c r="F47" s="45">
        <v>64.5</v>
      </c>
      <c r="G47" s="45">
        <v>74.5</v>
      </c>
      <c r="H47" s="45">
        <v>69</v>
      </c>
      <c r="I47" s="44">
        <v>83.5</v>
      </c>
      <c r="J47" s="44">
        <v>73</v>
      </c>
      <c r="K47" s="45">
        <v>78</v>
      </c>
      <c r="L47" s="48">
        <f t="shared" si="0"/>
        <v>75.785714285714306</v>
      </c>
      <c r="M47" s="44">
        <f t="shared" si="1"/>
        <v>30</v>
      </c>
      <c r="N47" s="44">
        <v>20</v>
      </c>
      <c r="O47" s="44">
        <v>0</v>
      </c>
      <c r="P47" s="48">
        <f t="shared" si="2"/>
        <v>53.05</v>
      </c>
      <c r="Q47" s="44"/>
      <c r="R47" s="44">
        <f t="shared" si="3"/>
        <v>0</v>
      </c>
      <c r="S47" s="44"/>
      <c r="T47" s="44"/>
      <c r="U47" s="44"/>
      <c r="V47" s="48">
        <f t="shared" si="4"/>
        <v>53.05</v>
      </c>
      <c r="W47" s="44">
        <f t="shared" si="5"/>
        <v>31</v>
      </c>
      <c r="X47" s="53" t="s">
        <v>280</v>
      </c>
      <c r="Y47" s="54">
        <v>78</v>
      </c>
      <c r="Z47" s="53">
        <f t="shared" si="6"/>
        <v>0.9</v>
      </c>
      <c r="AA47" s="55" t="s">
        <v>281</v>
      </c>
      <c r="AB47" s="55">
        <v>4</v>
      </c>
      <c r="AC47" s="55">
        <v>4</v>
      </c>
      <c r="AD47" s="55">
        <v>2</v>
      </c>
      <c r="AE47" s="55"/>
      <c r="AF47" s="55"/>
      <c r="AG47" s="55">
        <v>10</v>
      </c>
      <c r="AH47" s="56" t="s">
        <v>282</v>
      </c>
      <c r="AI47" s="56"/>
      <c r="AJ47" s="56" t="s">
        <v>283</v>
      </c>
      <c r="AK47" s="56">
        <v>2.5</v>
      </c>
      <c r="AL47" s="56"/>
      <c r="AM47" s="56"/>
      <c r="AN47" s="56"/>
      <c r="AO47" s="56"/>
      <c r="AP47" s="56"/>
      <c r="AQ47" s="56"/>
      <c r="AR47" s="56">
        <f t="shared" si="7"/>
        <v>2.5</v>
      </c>
      <c r="AS47" s="56" t="s">
        <v>284</v>
      </c>
      <c r="AT47" s="56"/>
      <c r="AU47" s="56"/>
      <c r="AV47" s="56"/>
      <c r="AW47" s="56"/>
      <c r="AX47" s="56"/>
      <c r="AY47" s="56"/>
      <c r="AZ47" s="56">
        <f t="shared" si="22"/>
        <v>0</v>
      </c>
      <c r="BA47" s="56"/>
      <c r="BB47" s="56" t="s">
        <v>285</v>
      </c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>
        <v>0.2</v>
      </c>
      <c r="CS47" s="56"/>
      <c r="CT47" s="56"/>
      <c r="CU47" s="56"/>
      <c r="CV47" s="56">
        <f t="shared" si="9"/>
        <v>0.2</v>
      </c>
      <c r="CW47" s="56">
        <f t="shared" si="10"/>
        <v>0.2</v>
      </c>
      <c r="CX47" s="56">
        <f t="shared" si="11"/>
        <v>0</v>
      </c>
      <c r="CY47" s="56">
        <f t="shared" si="12"/>
        <v>2.7</v>
      </c>
      <c r="CZ47" s="60" t="s">
        <v>66</v>
      </c>
      <c r="DA47" s="60">
        <v>2811190230</v>
      </c>
      <c r="DB47" s="60">
        <v>10</v>
      </c>
      <c r="DC47" s="61">
        <f t="shared" si="13"/>
        <v>53.05</v>
      </c>
      <c r="DD47" s="60">
        <f t="shared" si="14"/>
        <v>0.9</v>
      </c>
      <c r="DE47" s="60">
        <f t="shared" si="15"/>
        <v>2.7</v>
      </c>
      <c r="DF47" s="60">
        <f t="shared" si="16"/>
        <v>66.650000000000006</v>
      </c>
      <c r="DG47" s="60">
        <f t="shared" si="17"/>
        <v>32</v>
      </c>
      <c r="DH47" s="61">
        <f t="shared" si="18"/>
        <v>530.5</v>
      </c>
      <c r="DI47" s="60">
        <f t="shared" si="19"/>
        <v>30</v>
      </c>
    </row>
  </sheetData>
  <protectedRanges>
    <protectedRange sqref="AT1" name="Range1"/>
  </protectedRange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I4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8.15234375" defaultRowHeight="14.5" customHeight="1"/>
  <cols>
    <col min="2" max="2" width="11.84375" style="2"/>
    <col min="14" max="14" width="10.3046875" style="2" customWidth="1"/>
    <col min="18" max="18" width="13.3046875" style="2" customWidth="1"/>
    <col min="53" max="54" width="13.15234375" style="2" customWidth="1"/>
  </cols>
  <sheetData>
    <row r="1" spans="1:61" ht="14.5" customHeight="1">
      <c r="A1" s="15" t="s">
        <v>286</v>
      </c>
      <c r="B1" s="16"/>
      <c r="C1" s="200" t="s">
        <v>287</v>
      </c>
      <c r="D1" s="201"/>
      <c r="E1" s="201"/>
      <c r="F1" s="201"/>
      <c r="G1" s="201"/>
      <c r="H1" s="201"/>
      <c r="I1" s="202"/>
      <c r="J1" s="200" t="s">
        <v>288</v>
      </c>
      <c r="K1" s="201"/>
      <c r="L1" s="202"/>
      <c r="M1" s="203" t="s">
        <v>200</v>
      </c>
      <c r="N1" s="203"/>
      <c r="O1" s="203" t="s">
        <v>196</v>
      </c>
      <c r="P1" s="203"/>
      <c r="Q1" s="203"/>
      <c r="R1" s="15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 t="s">
        <v>206</v>
      </c>
      <c r="BB1" s="203"/>
      <c r="BC1" s="203"/>
      <c r="BD1" s="203"/>
      <c r="BE1" s="203"/>
      <c r="BF1" s="203"/>
      <c r="BG1" s="203"/>
      <c r="BH1" s="203" t="s">
        <v>289</v>
      </c>
      <c r="BI1" s="203"/>
    </row>
    <row r="2" spans="1:61" s="2" customFormat="1" ht="22" customHeight="1">
      <c r="A2" s="17" t="s">
        <v>7</v>
      </c>
      <c r="B2" s="17" t="s">
        <v>9</v>
      </c>
      <c r="C2" s="18" t="s">
        <v>290</v>
      </c>
      <c r="D2" s="18" t="s">
        <v>291</v>
      </c>
      <c r="E2" s="18" t="s">
        <v>292</v>
      </c>
      <c r="F2" s="18" t="s">
        <v>293</v>
      </c>
      <c r="G2" s="18" t="s">
        <v>294</v>
      </c>
      <c r="H2" s="18" t="s">
        <v>295</v>
      </c>
      <c r="I2" s="18" t="s">
        <v>191</v>
      </c>
      <c r="J2" s="23" t="s">
        <v>288</v>
      </c>
      <c r="K2" s="23" t="s">
        <v>296</v>
      </c>
      <c r="L2" s="23" t="s">
        <v>14</v>
      </c>
      <c r="M2" s="24" t="s">
        <v>185</v>
      </c>
      <c r="N2" s="24" t="s">
        <v>200</v>
      </c>
      <c r="O2" s="17" t="s">
        <v>297</v>
      </c>
      <c r="P2" s="17" t="s">
        <v>298</v>
      </c>
      <c r="Q2" s="17" t="s">
        <v>289</v>
      </c>
      <c r="R2" s="28" t="s">
        <v>299</v>
      </c>
      <c r="S2" s="29" t="s">
        <v>300</v>
      </c>
      <c r="T2" s="29" t="s">
        <v>301</v>
      </c>
      <c r="U2" s="29" t="s">
        <v>302</v>
      </c>
      <c r="V2" s="29" t="s">
        <v>228</v>
      </c>
      <c r="W2" s="29" t="s">
        <v>303</v>
      </c>
      <c r="X2" s="29" t="s">
        <v>304</v>
      </c>
      <c r="Y2" s="34" t="s">
        <v>305</v>
      </c>
      <c r="Z2" s="34" t="s">
        <v>306</v>
      </c>
      <c r="AA2" s="34" t="s">
        <v>307</v>
      </c>
      <c r="AB2" s="34" t="s">
        <v>308</v>
      </c>
      <c r="AC2" s="34" t="s">
        <v>309</v>
      </c>
      <c r="AD2" s="34" t="s">
        <v>310</v>
      </c>
      <c r="AE2" s="29" t="s">
        <v>102</v>
      </c>
      <c r="AF2" s="28" t="s">
        <v>311</v>
      </c>
      <c r="AG2" s="28" t="s">
        <v>312</v>
      </c>
      <c r="AH2" s="28" t="s">
        <v>313</v>
      </c>
      <c r="AI2" s="29" t="s">
        <v>314</v>
      </c>
      <c r="AJ2" s="29" t="s">
        <v>315</v>
      </c>
      <c r="AK2" s="29" t="s">
        <v>316</v>
      </c>
      <c r="AL2" s="29" t="s">
        <v>317</v>
      </c>
      <c r="AM2" s="29" t="s">
        <v>318</v>
      </c>
      <c r="AN2" s="28" t="s">
        <v>319</v>
      </c>
      <c r="AO2" s="29" t="s">
        <v>320</v>
      </c>
      <c r="AP2" s="29" t="s">
        <v>321</v>
      </c>
      <c r="AQ2" s="28" t="s">
        <v>322</v>
      </c>
      <c r="AR2" s="34" t="s">
        <v>323</v>
      </c>
      <c r="AS2" s="34" t="s">
        <v>324</v>
      </c>
      <c r="AT2" s="34" t="s">
        <v>325</v>
      </c>
      <c r="AU2" s="34" t="s">
        <v>326</v>
      </c>
      <c r="AV2" s="29" t="s">
        <v>327</v>
      </c>
      <c r="AW2" s="29" t="s">
        <v>328</v>
      </c>
      <c r="AX2" s="29" t="s">
        <v>329</v>
      </c>
      <c r="AY2" s="29" t="s">
        <v>298</v>
      </c>
      <c r="AZ2" s="29" t="s">
        <v>330</v>
      </c>
      <c r="BA2" s="36" t="s">
        <v>203</v>
      </c>
      <c r="BB2" s="37" t="s">
        <v>331</v>
      </c>
      <c r="BC2" s="36" t="s">
        <v>332</v>
      </c>
      <c r="BD2" s="36" t="s">
        <v>333</v>
      </c>
      <c r="BE2" s="36" t="s">
        <v>334</v>
      </c>
      <c r="BF2" s="36" t="s">
        <v>298</v>
      </c>
      <c r="BG2" s="36" t="s">
        <v>330</v>
      </c>
      <c r="BH2" s="39" t="s">
        <v>335</v>
      </c>
      <c r="BI2" s="39" t="s">
        <v>14</v>
      </c>
    </row>
    <row r="3" spans="1:61" ht="14.5" customHeight="1">
      <c r="A3" s="19" t="s">
        <v>19</v>
      </c>
      <c r="B3" s="19">
        <v>1</v>
      </c>
      <c r="C3" s="20">
        <v>80</v>
      </c>
      <c r="D3" s="20">
        <v>82</v>
      </c>
      <c r="E3" s="20">
        <v>87</v>
      </c>
      <c r="F3" s="20">
        <v>78</v>
      </c>
      <c r="G3" s="20"/>
      <c r="H3" s="21" t="s">
        <v>336</v>
      </c>
      <c r="I3" s="20">
        <v>0</v>
      </c>
      <c r="J3" s="25">
        <f t="shared" ref="J3:J35" si="0">C3+D3+E3+F3</f>
        <v>327</v>
      </c>
      <c r="K3" s="25">
        <f t="shared" ref="K3:K35" si="1">J3/4</f>
        <v>81.75</v>
      </c>
      <c r="L3" s="25">
        <f t="shared" ref="L3:L47" si="2">RANK(K3,$K$3:$K$47,0)</f>
        <v>12</v>
      </c>
      <c r="M3" s="24">
        <v>96</v>
      </c>
      <c r="N3" s="26">
        <f t="shared" ref="N3:N47" si="3">(M3-60)*0.05</f>
        <v>1.8</v>
      </c>
      <c r="O3" s="17">
        <v>0</v>
      </c>
      <c r="P3" s="17">
        <f t="shared" ref="P3:P47" si="4">I3*-0.5</f>
        <v>0</v>
      </c>
      <c r="Q3" s="17">
        <f t="shared" ref="Q3:Q47" si="5">K3*0.7+O3+P3</f>
        <v>57.225000000000001</v>
      </c>
      <c r="R3" s="29"/>
      <c r="S3" s="29">
        <v>2</v>
      </c>
      <c r="T3" s="29">
        <v>1</v>
      </c>
      <c r="U3" s="29" t="s">
        <v>337</v>
      </c>
      <c r="V3" s="29">
        <v>1.7</v>
      </c>
      <c r="W3" s="29"/>
      <c r="X3" s="29"/>
      <c r="Y3" s="29">
        <v>0.8</v>
      </c>
      <c r="Z3" s="29"/>
      <c r="AA3" s="29"/>
      <c r="AB3" s="29"/>
      <c r="AC3" s="29"/>
      <c r="AD3" s="29"/>
      <c r="AE3" s="29"/>
      <c r="AF3" s="29"/>
      <c r="AG3" s="29"/>
      <c r="AH3" s="29"/>
      <c r="AI3" s="29">
        <v>0.5</v>
      </c>
      <c r="AJ3" s="29"/>
      <c r="AK3" s="29"/>
      <c r="AL3" s="29">
        <v>0.5</v>
      </c>
      <c r="AM3" s="29">
        <v>0.5</v>
      </c>
      <c r="AN3" s="29">
        <v>1.5</v>
      </c>
      <c r="AO3" s="29">
        <v>0.5</v>
      </c>
      <c r="AP3" s="29">
        <v>0.5</v>
      </c>
      <c r="AQ3" s="29"/>
      <c r="AR3" s="29"/>
      <c r="AS3" s="29"/>
      <c r="AT3" s="29"/>
      <c r="AU3" s="29"/>
      <c r="AV3" s="29"/>
      <c r="AW3" s="29"/>
      <c r="AX3" s="29">
        <v>2</v>
      </c>
      <c r="AY3" s="29"/>
      <c r="AZ3" s="29">
        <f t="shared" ref="AZ3:AZ47" si="6">SUM(R3:AY3)</f>
        <v>11.5</v>
      </c>
      <c r="BA3" s="36">
        <v>5</v>
      </c>
      <c r="BB3" s="36"/>
      <c r="BC3" s="36"/>
      <c r="BD3" s="36"/>
      <c r="BE3" s="36">
        <v>2</v>
      </c>
      <c r="BF3" s="36"/>
      <c r="BG3" s="36">
        <f t="shared" ref="BG3:BG47" si="7">BA3+BB3+BC3+BD3+BE3</f>
        <v>7</v>
      </c>
      <c r="BH3" s="39">
        <f t="shared" ref="BH3:BH47" si="8">BG3+AZ3+Q3+N3</f>
        <v>77.525000000000006</v>
      </c>
      <c r="BI3" s="39">
        <f t="shared" ref="BI3:BI47" si="9">RANK(BH3,$BH$3:$BH$47,0)</f>
        <v>5</v>
      </c>
    </row>
    <row r="4" spans="1:61" ht="14.5" customHeight="1">
      <c r="A4" s="19" t="s">
        <v>338</v>
      </c>
      <c r="B4" s="19">
        <v>2</v>
      </c>
      <c r="C4" s="20">
        <v>73</v>
      </c>
      <c r="D4" s="20">
        <v>72</v>
      </c>
      <c r="E4" s="20">
        <v>80</v>
      </c>
      <c r="F4" s="20">
        <v>79</v>
      </c>
      <c r="G4" s="20"/>
      <c r="H4" s="20" t="s">
        <v>339</v>
      </c>
      <c r="I4" s="20">
        <v>1</v>
      </c>
      <c r="J4" s="25">
        <f t="shared" si="0"/>
        <v>304</v>
      </c>
      <c r="K4" s="25">
        <f t="shared" si="1"/>
        <v>76</v>
      </c>
      <c r="L4" s="25">
        <f t="shared" si="2"/>
        <v>33</v>
      </c>
      <c r="M4" s="24">
        <v>85</v>
      </c>
      <c r="N4" s="26">
        <f t="shared" si="3"/>
        <v>1.25</v>
      </c>
      <c r="O4" s="17">
        <v>0</v>
      </c>
      <c r="P4" s="17">
        <f t="shared" si="4"/>
        <v>-0.5</v>
      </c>
      <c r="Q4" s="17">
        <f t="shared" si="5"/>
        <v>52.7</v>
      </c>
      <c r="R4" s="29"/>
      <c r="S4" s="29"/>
      <c r="T4" s="29">
        <v>1</v>
      </c>
      <c r="U4" s="29"/>
      <c r="V4" s="29"/>
      <c r="W4" s="29"/>
      <c r="X4" s="29"/>
      <c r="Y4" s="29"/>
      <c r="Z4" s="29"/>
      <c r="AA4" s="29"/>
      <c r="AB4" s="29"/>
      <c r="AC4" s="29">
        <v>0.5</v>
      </c>
      <c r="AD4" s="29"/>
      <c r="AE4" s="29"/>
      <c r="AF4" s="29"/>
      <c r="AG4" s="29"/>
      <c r="AH4" s="29"/>
      <c r="AI4" s="29"/>
      <c r="AJ4" s="29"/>
      <c r="AK4" s="29"/>
      <c r="AL4" s="29">
        <v>0.5</v>
      </c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>
        <v>2</v>
      </c>
      <c r="AY4" s="29"/>
      <c r="AZ4" s="29">
        <f t="shared" si="6"/>
        <v>4</v>
      </c>
      <c r="BA4" s="36">
        <v>4.5</v>
      </c>
      <c r="BB4" s="36"/>
      <c r="BC4" s="36"/>
      <c r="BD4" s="36"/>
      <c r="BE4" s="36">
        <v>2</v>
      </c>
      <c r="BF4" s="36"/>
      <c r="BG4" s="36">
        <f t="shared" si="7"/>
        <v>6.5</v>
      </c>
      <c r="BH4" s="39">
        <f t="shared" si="8"/>
        <v>64.45</v>
      </c>
      <c r="BI4" s="39">
        <f t="shared" si="9"/>
        <v>38</v>
      </c>
    </row>
    <row r="5" spans="1:61" ht="14.5" customHeight="1">
      <c r="A5" s="19" t="s">
        <v>21</v>
      </c>
      <c r="B5" s="19">
        <v>3</v>
      </c>
      <c r="C5" s="20">
        <v>65</v>
      </c>
      <c r="D5" s="20">
        <v>72</v>
      </c>
      <c r="E5" s="20">
        <v>82</v>
      </c>
      <c r="F5" s="20">
        <v>84</v>
      </c>
      <c r="G5" s="20"/>
      <c r="H5" s="21" t="s">
        <v>336</v>
      </c>
      <c r="I5" s="20">
        <v>0</v>
      </c>
      <c r="J5" s="25">
        <f t="shared" si="0"/>
        <v>303</v>
      </c>
      <c r="K5" s="25">
        <f t="shared" si="1"/>
        <v>75.75</v>
      </c>
      <c r="L5" s="25">
        <f t="shared" si="2"/>
        <v>34</v>
      </c>
      <c r="M5" s="24">
        <v>71</v>
      </c>
      <c r="N5" s="26">
        <f t="shared" si="3"/>
        <v>0.55000000000000004</v>
      </c>
      <c r="O5" s="17">
        <v>0</v>
      </c>
      <c r="P5" s="17">
        <f t="shared" si="4"/>
        <v>0</v>
      </c>
      <c r="Q5" s="17">
        <f t="shared" si="5"/>
        <v>53.024999999999999</v>
      </c>
      <c r="R5" s="29"/>
      <c r="S5" s="29"/>
      <c r="T5" s="29">
        <v>1</v>
      </c>
      <c r="U5" s="29">
        <v>0.8</v>
      </c>
      <c r="V5" s="29"/>
      <c r="W5" s="29"/>
      <c r="X5" s="29"/>
      <c r="Y5" s="29"/>
      <c r="Z5" s="29"/>
      <c r="AA5" s="29"/>
      <c r="AB5" s="29">
        <v>0.3</v>
      </c>
      <c r="AC5" s="29"/>
      <c r="AD5" s="29"/>
      <c r="AE5" s="29"/>
      <c r="AF5" s="29"/>
      <c r="AG5" s="29"/>
      <c r="AH5" s="29">
        <v>0.3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>
        <v>2</v>
      </c>
      <c r="AY5" s="29"/>
      <c r="AZ5" s="29">
        <f t="shared" si="6"/>
        <v>4.4000000000000004</v>
      </c>
      <c r="BA5" s="36">
        <v>5</v>
      </c>
      <c r="BB5" s="36"/>
      <c r="BC5" s="36">
        <v>0.2</v>
      </c>
      <c r="BD5" s="36"/>
      <c r="BE5" s="36">
        <v>2</v>
      </c>
      <c r="BF5" s="36"/>
      <c r="BG5" s="36">
        <f t="shared" si="7"/>
        <v>7.2</v>
      </c>
      <c r="BH5" s="39">
        <f t="shared" si="8"/>
        <v>65.174999999999997</v>
      </c>
      <c r="BI5" s="39">
        <f t="shared" si="9"/>
        <v>35</v>
      </c>
    </row>
    <row r="6" spans="1:61" ht="14.5" customHeight="1">
      <c r="A6" s="19" t="s">
        <v>22</v>
      </c>
      <c r="B6" s="19">
        <v>4</v>
      </c>
      <c r="C6" s="20">
        <v>88</v>
      </c>
      <c r="D6" s="20">
        <v>48</v>
      </c>
      <c r="E6" s="20">
        <v>77</v>
      </c>
      <c r="F6" s="20">
        <v>61</v>
      </c>
      <c r="G6" s="20"/>
      <c r="H6" s="21" t="s">
        <v>336</v>
      </c>
      <c r="I6" s="20">
        <v>1</v>
      </c>
      <c r="J6" s="25">
        <f t="shared" si="0"/>
        <v>274</v>
      </c>
      <c r="K6" s="25">
        <f t="shared" si="1"/>
        <v>68.5</v>
      </c>
      <c r="L6" s="25">
        <f t="shared" si="2"/>
        <v>41</v>
      </c>
      <c r="M6" s="24">
        <v>86</v>
      </c>
      <c r="N6" s="26">
        <f t="shared" si="3"/>
        <v>1.3</v>
      </c>
      <c r="O6" s="17">
        <v>0</v>
      </c>
      <c r="P6" s="17">
        <f t="shared" si="4"/>
        <v>-0.5</v>
      </c>
      <c r="Q6" s="17">
        <f t="shared" si="5"/>
        <v>47.45</v>
      </c>
      <c r="R6" s="29"/>
      <c r="S6" s="29"/>
      <c r="T6" s="29">
        <v>1</v>
      </c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>
        <v>1.5</v>
      </c>
      <c r="AW6" s="29"/>
      <c r="AX6" s="29">
        <v>2</v>
      </c>
      <c r="AY6" s="29"/>
      <c r="AZ6" s="29">
        <f t="shared" si="6"/>
        <v>4.5</v>
      </c>
      <c r="BA6" s="36">
        <v>5</v>
      </c>
      <c r="BB6" s="36"/>
      <c r="BC6" s="36"/>
      <c r="BD6" s="36"/>
      <c r="BE6" s="36">
        <v>2</v>
      </c>
      <c r="BF6" s="36"/>
      <c r="BG6" s="36">
        <f t="shared" si="7"/>
        <v>7</v>
      </c>
      <c r="BH6" s="39">
        <f t="shared" si="8"/>
        <v>60.25</v>
      </c>
      <c r="BI6" s="39">
        <f t="shared" si="9"/>
        <v>41</v>
      </c>
    </row>
    <row r="7" spans="1:61" ht="14.5" customHeight="1">
      <c r="A7" s="19" t="s">
        <v>23</v>
      </c>
      <c r="B7" s="19">
        <v>5</v>
      </c>
      <c r="C7" s="20">
        <v>85</v>
      </c>
      <c r="D7" s="20">
        <v>72</v>
      </c>
      <c r="E7" s="20">
        <v>84</v>
      </c>
      <c r="F7" s="20">
        <v>83</v>
      </c>
      <c r="G7" s="20"/>
      <c r="H7" s="21" t="s">
        <v>336</v>
      </c>
      <c r="I7" s="20">
        <v>0</v>
      </c>
      <c r="J7" s="25">
        <f t="shared" si="0"/>
        <v>324</v>
      </c>
      <c r="K7" s="25">
        <f t="shared" si="1"/>
        <v>81</v>
      </c>
      <c r="L7" s="25">
        <f t="shared" si="2"/>
        <v>15</v>
      </c>
      <c r="M7" s="24">
        <v>90</v>
      </c>
      <c r="N7" s="26">
        <f t="shared" si="3"/>
        <v>1.5</v>
      </c>
      <c r="O7" s="17">
        <v>0</v>
      </c>
      <c r="P7" s="17">
        <f t="shared" si="4"/>
        <v>0</v>
      </c>
      <c r="Q7" s="17">
        <f t="shared" si="5"/>
        <v>56.7</v>
      </c>
      <c r="R7" s="29"/>
      <c r="S7" s="29"/>
      <c r="T7" s="29">
        <v>1</v>
      </c>
      <c r="U7" s="29">
        <v>0.9</v>
      </c>
      <c r="V7" s="29"/>
      <c r="W7" s="29"/>
      <c r="X7" s="29"/>
      <c r="Y7" s="29"/>
      <c r="Z7" s="29"/>
      <c r="AA7" s="29"/>
      <c r="AB7" s="29">
        <v>0.3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>
        <v>0.5</v>
      </c>
      <c r="AW7" s="29"/>
      <c r="AX7" s="29">
        <v>2</v>
      </c>
      <c r="AY7" s="29"/>
      <c r="AZ7" s="29">
        <f t="shared" si="6"/>
        <v>4.7</v>
      </c>
      <c r="BA7" s="36">
        <v>4</v>
      </c>
      <c r="BB7" s="36"/>
      <c r="BC7" s="36"/>
      <c r="BD7" s="36"/>
      <c r="BE7" s="36">
        <v>2</v>
      </c>
      <c r="BF7" s="36"/>
      <c r="BG7" s="36">
        <f t="shared" si="7"/>
        <v>6</v>
      </c>
      <c r="BH7" s="39">
        <f t="shared" si="8"/>
        <v>68.900000000000006</v>
      </c>
      <c r="BI7" s="39">
        <f t="shared" si="9"/>
        <v>22</v>
      </c>
    </row>
    <row r="8" spans="1:61" ht="14.5" customHeight="1">
      <c r="A8" s="19" t="s">
        <v>24</v>
      </c>
      <c r="B8" s="19">
        <v>6</v>
      </c>
      <c r="C8" s="20">
        <v>69</v>
      </c>
      <c r="D8" s="20">
        <v>84</v>
      </c>
      <c r="E8" s="20">
        <v>91</v>
      </c>
      <c r="F8" s="20">
        <v>81</v>
      </c>
      <c r="G8" s="20"/>
      <c r="H8" s="21" t="s">
        <v>336</v>
      </c>
      <c r="I8" s="20">
        <v>0</v>
      </c>
      <c r="J8" s="25">
        <f t="shared" si="0"/>
        <v>325</v>
      </c>
      <c r="K8" s="25">
        <f t="shared" si="1"/>
        <v>81.25</v>
      </c>
      <c r="L8" s="25">
        <f t="shared" si="2"/>
        <v>14</v>
      </c>
      <c r="M8" s="24">
        <v>86</v>
      </c>
      <c r="N8" s="26">
        <f t="shared" si="3"/>
        <v>1.3</v>
      </c>
      <c r="O8" s="17">
        <v>0</v>
      </c>
      <c r="P8" s="17">
        <f t="shared" si="4"/>
        <v>0</v>
      </c>
      <c r="Q8" s="17">
        <f t="shared" si="5"/>
        <v>56.875</v>
      </c>
      <c r="R8" s="29"/>
      <c r="S8" s="29"/>
      <c r="T8" s="29">
        <v>1</v>
      </c>
      <c r="U8" s="29">
        <v>1.05</v>
      </c>
      <c r="V8" s="29"/>
      <c r="W8" s="29"/>
      <c r="X8" s="29"/>
      <c r="Y8" s="29"/>
      <c r="Z8" s="29"/>
      <c r="AA8" s="29"/>
      <c r="AB8" s="29">
        <v>0.3</v>
      </c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>
        <v>0.5</v>
      </c>
      <c r="AN8" s="29"/>
      <c r="AO8" s="29"/>
      <c r="AP8" s="29"/>
      <c r="AQ8" s="29"/>
      <c r="AR8" s="29"/>
      <c r="AS8" s="29">
        <v>0.5</v>
      </c>
      <c r="AT8" s="29"/>
      <c r="AU8" s="29"/>
      <c r="AV8" s="29">
        <v>0.5</v>
      </c>
      <c r="AW8" s="29"/>
      <c r="AX8" s="29">
        <v>2</v>
      </c>
      <c r="AY8" s="29"/>
      <c r="AZ8" s="29">
        <f t="shared" si="6"/>
        <v>5.85</v>
      </c>
      <c r="BA8" s="36">
        <v>4.5</v>
      </c>
      <c r="BB8" s="36"/>
      <c r="BC8" s="36"/>
      <c r="BD8" s="36"/>
      <c r="BE8" s="36">
        <v>2</v>
      </c>
      <c r="BF8" s="36"/>
      <c r="BG8" s="36">
        <f t="shared" si="7"/>
        <v>6.5</v>
      </c>
      <c r="BH8" s="39">
        <f t="shared" si="8"/>
        <v>70.525000000000006</v>
      </c>
      <c r="BI8" s="39">
        <f t="shared" si="9"/>
        <v>17</v>
      </c>
    </row>
    <row r="9" spans="1:61" ht="14.5" customHeight="1">
      <c r="A9" s="19" t="s">
        <v>25</v>
      </c>
      <c r="B9" s="19">
        <v>7</v>
      </c>
      <c r="C9" s="20">
        <v>71</v>
      </c>
      <c r="D9" s="20">
        <v>65</v>
      </c>
      <c r="E9" s="20">
        <v>84</v>
      </c>
      <c r="F9" s="20">
        <v>79</v>
      </c>
      <c r="G9" s="20"/>
      <c r="H9" s="21" t="s">
        <v>336</v>
      </c>
      <c r="I9" s="20">
        <v>0</v>
      </c>
      <c r="J9" s="25">
        <f t="shared" si="0"/>
        <v>299</v>
      </c>
      <c r="K9" s="25">
        <f t="shared" si="1"/>
        <v>74.75</v>
      </c>
      <c r="L9" s="25">
        <f t="shared" si="2"/>
        <v>35</v>
      </c>
      <c r="M9" s="24">
        <v>90</v>
      </c>
      <c r="N9" s="26">
        <f t="shared" si="3"/>
        <v>1.5</v>
      </c>
      <c r="O9" s="17">
        <v>0</v>
      </c>
      <c r="P9" s="17">
        <f t="shared" si="4"/>
        <v>0</v>
      </c>
      <c r="Q9" s="17">
        <f t="shared" si="5"/>
        <v>52.325000000000003</v>
      </c>
      <c r="R9" s="29"/>
      <c r="S9" s="29"/>
      <c r="T9" s="29">
        <v>1</v>
      </c>
      <c r="U9" s="29"/>
      <c r="V9" s="29"/>
      <c r="W9" s="29"/>
      <c r="X9" s="29"/>
      <c r="Y9" s="29"/>
      <c r="Z9" s="29"/>
      <c r="AA9" s="29"/>
      <c r="AB9" s="29">
        <v>0.3</v>
      </c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>
        <v>0.5</v>
      </c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>
        <v>2</v>
      </c>
      <c r="AY9" s="29"/>
      <c r="AZ9" s="29">
        <f t="shared" si="6"/>
        <v>3.8</v>
      </c>
      <c r="BA9" s="36">
        <v>5</v>
      </c>
      <c r="BB9" s="36"/>
      <c r="BC9" s="36"/>
      <c r="BD9" s="36"/>
      <c r="BE9" s="36">
        <v>2</v>
      </c>
      <c r="BF9" s="36"/>
      <c r="BG9" s="36">
        <f t="shared" si="7"/>
        <v>7</v>
      </c>
      <c r="BH9" s="39">
        <f t="shared" si="8"/>
        <v>64.625</v>
      </c>
      <c r="BI9" s="39">
        <f t="shared" si="9"/>
        <v>36</v>
      </c>
    </row>
    <row r="10" spans="1:61" ht="14.5" customHeight="1">
      <c r="A10" s="19" t="s">
        <v>26</v>
      </c>
      <c r="B10" s="19">
        <v>8</v>
      </c>
      <c r="C10" s="20">
        <v>93</v>
      </c>
      <c r="D10" s="20">
        <v>65</v>
      </c>
      <c r="E10" s="20">
        <v>87</v>
      </c>
      <c r="F10" s="20">
        <v>83</v>
      </c>
      <c r="G10" s="20"/>
      <c r="H10" s="21" t="s">
        <v>336</v>
      </c>
      <c r="I10" s="20">
        <v>0</v>
      </c>
      <c r="J10" s="25">
        <f t="shared" si="0"/>
        <v>328</v>
      </c>
      <c r="K10" s="25">
        <f t="shared" si="1"/>
        <v>82</v>
      </c>
      <c r="L10" s="25">
        <f t="shared" si="2"/>
        <v>10</v>
      </c>
      <c r="M10" s="24">
        <v>79</v>
      </c>
      <c r="N10" s="26">
        <f t="shared" si="3"/>
        <v>0.95</v>
      </c>
      <c r="O10" s="17">
        <v>0</v>
      </c>
      <c r="P10" s="17">
        <f t="shared" si="4"/>
        <v>0</v>
      </c>
      <c r="Q10" s="17">
        <f t="shared" si="5"/>
        <v>57.4</v>
      </c>
      <c r="R10" s="29"/>
      <c r="S10" s="29"/>
      <c r="T10" s="29">
        <v>1</v>
      </c>
      <c r="U10" s="29">
        <v>1</v>
      </c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>
        <v>0.5</v>
      </c>
      <c r="AN10" s="29"/>
      <c r="AO10" s="29"/>
      <c r="AP10" s="29"/>
      <c r="AQ10" s="29"/>
      <c r="AR10" s="29"/>
      <c r="AS10" s="29"/>
      <c r="AT10" s="29"/>
      <c r="AU10" s="29"/>
      <c r="AV10" s="29">
        <v>1.5</v>
      </c>
      <c r="AW10" s="29"/>
      <c r="AX10" s="29">
        <v>2</v>
      </c>
      <c r="AY10" s="29"/>
      <c r="AZ10" s="29">
        <f t="shared" si="6"/>
        <v>6</v>
      </c>
      <c r="BA10" s="36">
        <v>5</v>
      </c>
      <c r="BB10" s="36"/>
      <c r="BC10" s="36"/>
      <c r="BD10" s="36"/>
      <c r="BE10" s="36">
        <v>2</v>
      </c>
      <c r="BF10" s="36"/>
      <c r="BG10" s="36">
        <f t="shared" si="7"/>
        <v>7</v>
      </c>
      <c r="BH10" s="39">
        <f t="shared" si="8"/>
        <v>71.349999999999994</v>
      </c>
      <c r="BI10" s="39">
        <f t="shared" si="9"/>
        <v>16</v>
      </c>
    </row>
    <row r="11" spans="1:61" ht="14.5" customHeight="1">
      <c r="A11" s="19" t="s">
        <v>27</v>
      </c>
      <c r="B11" s="19">
        <v>9</v>
      </c>
      <c r="C11" s="20">
        <v>56</v>
      </c>
      <c r="D11" s="20">
        <v>58</v>
      </c>
      <c r="E11" s="20">
        <v>79</v>
      </c>
      <c r="F11" s="20">
        <v>76</v>
      </c>
      <c r="G11" s="20"/>
      <c r="H11" s="21" t="s">
        <v>336</v>
      </c>
      <c r="I11" s="20">
        <v>2</v>
      </c>
      <c r="J11" s="25">
        <f t="shared" si="0"/>
        <v>269</v>
      </c>
      <c r="K11" s="25">
        <f t="shared" si="1"/>
        <v>67.25</v>
      </c>
      <c r="L11" s="25">
        <f t="shared" si="2"/>
        <v>42</v>
      </c>
      <c r="M11" s="24">
        <v>84</v>
      </c>
      <c r="N11" s="26">
        <f t="shared" si="3"/>
        <v>1.2</v>
      </c>
      <c r="O11" s="17">
        <v>0</v>
      </c>
      <c r="P11" s="17">
        <f t="shared" si="4"/>
        <v>-1</v>
      </c>
      <c r="Q11" s="17">
        <f t="shared" si="5"/>
        <v>46.075000000000003</v>
      </c>
      <c r="R11" s="29"/>
      <c r="S11" s="29"/>
      <c r="T11" s="29">
        <v>1</v>
      </c>
      <c r="U11" s="29"/>
      <c r="V11" s="29">
        <v>1</v>
      </c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>
        <v>0.3</v>
      </c>
      <c r="AI11" s="29"/>
      <c r="AJ11" s="29"/>
      <c r="AK11" s="29"/>
      <c r="AL11" s="29"/>
      <c r="AM11" s="29"/>
      <c r="AN11" s="29">
        <v>0.5</v>
      </c>
      <c r="AO11" s="29"/>
      <c r="AP11" s="29"/>
      <c r="AQ11" s="29"/>
      <c r="AR11" s="29"/>
      <c r="AS11" s="29"/>
      <c r="AT11" s="29"/>
      <c r="AU11" s="29"/>
      <c r="AV11" s="29"/>
      <c r="AW11" s="29"/>
      <c r="AX11" s="29">
        <v>2</v>
      </c>
      <c r="AY11" s="29"/>
      <c r="AZ11" s="29">
        <f t="shared" si="6"/>
        <v>4.8</v>
      </c>
      <c r="BA11" s="36">
        <v>4</v>
      </c>
      <c r="BB11" s="36"/>
      <c r="BC11" s="36">
        <v>0.2</v>
      </c>
      <c r="BD11" s="36"/>
      <c r="BE11" s="36">
        <v>2</v>
      </c>
      <c r="BF11" s="36"/>
      <c r="BG11" s="36">
        <f t="shared" si="7"/>
        <v>6.2</v>
      </c>
      <c r="BH11" s="39">
        <f t="shared" si="8"/>
        <v>58.274999999999999</v>
      </c>
      <c r="BI11" s="39">
        <f t="shared" si="9"/>
        <v>44</v>
      </c>
    </row>
    <row r="12" spans="1:61" ht="14.5" customHeight="1">
      <c r="A12" s="19" t="s">
        <v>340</v>
      </c>
      <c r="B12" s="19">
        <v>10</v>
      </c>
      <c r="C12" s="20">
        <v>55</v>
      </c>
      <c r="D12" s="20">
        <v>69</v>
      </c>
      <c r="E12" s="20">
        <v>88</v>
      </c>
      <c r="F12" s="20">
        <v>87</v>
      </c>
      <c r="G12" s="20"/>
      <c r="H12" s="21" t="s">
        <v>336</v>
      </c>
      <c r="I12" s="20">
        <v>1</v>
      </c>
      <c r="J12" s="25">
        <f t="shared" si="0"/>
        <v>299</v>
      </c>
      <c r="K12" s="25">
        <f t="shared" si="1"/>
        <v>74.75</v>
      </c>
      <c r="L12" s="25">
        <f t="shared" si="2"/>
        <v>35</v>
      </c>
      <c r="M12" s="24">
        <v>80</v>
      </c>
      <c r="N12" s="26">
        <f t="shared" si="3"/>
        <v>1</v>
      </c>
      <c r="O12" s="17">
        <v>0</v>
      </c>
      <c r="P12" s="17">
        <f t="shared" si="4"/>
        <v>-0.5</v>
      </c>
      <c r="Q12" s="17">
        <f t="shared" si="5"/>
        <v>51.825000000000003</v>
      </c>
      <c r="R12" s="29">
        <v>1</v>
      </c>
      <c r="S12" s="29"/>
      <c r="T12" s="29">
        <v>1</v>
      </c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>
        <v>0.5</v>
      </c>
      <c r="AX12" s="29">
        <v>2</v>
      </c>
      <c r="AY12" s="29"/>
      <c r="AZ12" s="29">
        <f t="shared" si="6"/>
        <v>4.5</v>
      </c>
      <c r="BA12" s="36">
        <v>5</v>
      </c>
      <c r="BB12" s="36"/>
      <c r="BC12" s="36"/>
      <c r="BD12" s="36">
        <v>0.2</v>
      </c>
      <c r="BE12" s="36">
        <v>2</v>
      </c>
      <c r="BF12" s="36"/>
      <c r="BG12" s="36">
        <f t="shared" si="7"/>
        <v>7.2</v>
      </c>
      <c r="BH12" s="39">
        <f t="shared" si="8"/>
        <v>64.525000000000006</v>
      </c>
      <c r="BI12" s="39">
        <f t="shared" si="9"/>
        <v>37</v>
      </c>
    </row>
    <row r="13" spans="1:61" ht="14.5" customHeight="1">
      <c r="A13" s="19" t="s">
        <v>29</v>
      </c>
      <c r="B13" s="19">
        <v>11</v>
      </c>
      <c r="C13" s="20">
        <v>69</v>
      </c>
      <c r="D13" s="20">
        <v>62</v>
      </c>
      <c r="E13" s="20">
        <v>81</v>
      </c>
      <c r="F13" s="20">
        <v>76</v>
      </c>
      <c r="G13" s="20"/>
      <c r="H13" s="21" t="s">
        <v>336</v>
      </c>
      <c r="I13" s="20">
        <v>0</v>
      </c>
      <c r="J13" s="25">
        <f t="shared" si="0"/>
        <v>288</v>
      </c>
      <c r="K13" s="25">
        <f t="shared" si="1"/>
        <v>72</v>
      </c>
      <c r="L13" s="25">
        <f t="shared" si="2"/>
        <v>38</v>
      </c>
      <c r="M13" s="24">
        <v>92</v>
      </c>
      <c r="N13" s="26">
        <f t="shared" si="3"/>
        <v>1.6</v>
      </c>
      <c r="O13" s="17">
        <v>0</v>
      </c>
      <c r="P13" s="17">
        <f t="shared" si="4"/>
        <v>0</v>
      </c>
      <c r="Q13" s="17">
        <f t="shared" si="5"/>
        <v>50.4</v>
      </c>
      <c r="R13" s="29"/>
      <c r="S13" s="29"/>
      <c r="T13" s="29">
        <v>1</v>
      </c>
      <c r="U13" s="29"/>
      <c r="V13" s="29">
        <v>1.4</v>
      </c>
      <c r="W13" s="29"/>
      <c r="X13" s="29"/>
      <c r="Y13" s="29"/>
      <c r="Z13" s="29"/>
      <c r="AA13" s="29"/>
      <c r="AB13" s="29">
        <v>0.3</v>
      </c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>
        <v>0.5</v>
      </c>
      <c r="AN13" s="29"/>
      <c r="AO13" s="29"/>
      <c r="AP13" s="29">
        <v>0.5</v>
      </c>
      <c r="AQ13" s="29"/>
      <c r="AR13" s="29"/>
      <c r="AS13" s="29">
        <v>0.5</v>
      </c>
      <c r="AT13" s="29"/>
      <c r="AU13" s="29"/>
      <c r="AV13" s="29"/>
      <c r="AW13" s="29">
        <v>0.5</v>
      </c>
      <c r="AX13" s="29">
        <v>2</v>
      </c>
      <c r="AY13" s="29"/>
      <c r="AZ13" s="29">
        <f t="shared" si="6"/>
        <v>6.7</v>
      </c>
      <c r="BA13" s="36">
        <v>5</v>
      </c>
      <c r="BB13" s="36"/>
      <c r="BC13" s="36"/>
      <c r="BD13" s="36"/>
      <c r="BE13" s="36">
        <v>2</v>
      </c>
      <c r="BF13" s="36"/>
      <c r="BG13" s="36">
        <f t="shared" si="7"/>
        <v>7</v>
      </c>
      <c r="BH13" s="39">
        <f t="shared" si="8"/>
        <v>65.7</v>
      </c>
      <c r="BI13" s="39">
        <f t="shared" si="9"/>
        <v>32</v>
      </c>
    </row>
    <row r="14" spans="1:61" ht="14.5" customHeight="1">
      <c r="A14" s="19" t="s">
        <v>30</v>
      </c>
      <c r="B14" s="19">
        <v>12</v>
      </c>
      <c r="C14" s="20">
        <v>75</v>
      </c>
      <c r="D14" s="20">
        <v>73</v>
      </c>
      <c r="E14" s="20">
        <v>81</v>
      </c>
      <c r="F14" s="20">
        <v>83</v>
      </c>
      <c r="G14" s="20"/>
      <c r="H14" s="21" t="s">
        <v>336</v>
      </c>
      <c r="I14" s="20">
        <v>0</v>
      </c>
      <c r="J14" s="25">
        <f t="shared" si="0"/>
        <v>312</v>
      </c>
      <c r="K14" s="25">
        <f t="shared" si="1"/>
        <v>78</v>
      </c>
      <c r="L14" s="25">
        <f t="shared" si="2"/>
        <v>24</v>
      </c>
      <c r="M14" s="24">
        <v>82</v>
      </c>
      <c r="N14" s="26">
        <f t="shared" si="3"/>
        <v>1.1000000000000001</v>
      </c>
      <c r="O14" s="17">
        <v>0</v>
      </c>
      <c r="P14" s="17">
        <f t="shared" si="4"/>
        <v>0</v>
      </c>
      <c r="Q14" s="17">
        <f t="shared" si="5"/>
        <v>54.6</v>
      </c>
      <c r="R14" s="29"/>
      <c r="S14" s="29"/>
      <c r="T14" s="29">
        <v>1</v>
      </c>
      <c r="U14" s="29">
        <v>1</v>
      </c>
      <c r="V14" s="29"/>
      <c r="W14" s="29"/>
      <c r="X14" s="29">
        <v>0.2</v>
      </c>
      <c r="Y14" s="29"/>
      <c r="Z14" s="29"/>
      <c r="AA14" s="29"/>
      <c r="AB14" s="29">
        <v>0.3</v>
      </c>
      <c r="AC14" s="29"/>
      <c r="AD14" s="29"/>
      <c r="AE14" s="29"/>
      <c r="AF14" s="29">
        <v>0.3</v>
      </c>
      <c r="AG14" s="29"/>
      <c r="AH14" s="29">
        <v>0.5</v>
      </c>
      <c r="AI14" s="29"/>
      <c r="AJ14" s="29"/>
      <c r="AK14" s="29"/>
      <c r="AL14" s="29">
        <v>0.5</v>
      </c>
      <c r="AM14" s="29"/>
      <c r="AN14" s="29">
        <v>0.5</v>
      </c>
      <c r="AO14" s="29"/>
      <c r="AP14" s="29"/>
      <c r="AQ14" s="29"/>
      <c r="AR14" s="29"/>
      <c r="AS14" s="29"/>
      <c r="AT14" s="29"/>
      <c r="AU14" s="29"/>
      <c r="AV14" s="29"/>
      <c r="AW14" s="29"/>
      <c r="AX14" s="29">
        <v>2</v>
      </c>
      <c r="AY14" s="29"/>
      <c r="AZ14" s="29">
        <f t="shared" si="6"/>
        <v>6.3</v>
      </c>
      <c r="BA14" s="36">
        <v>5</v>
      </c>
      <c r="BB14" s="36"/>
      <c r="BC14" s="36"/>
      <c r="BD14" s="36"/>
      <c r="BE14" s="36">
        <v>2</v>
      </c>
      <c r="BF14" s="36"/>
      <c r="BG14" s="36">
        <f t="shared" si="7"/>
        <v>7</v>
      </c>
      <c r="BH14" s="39">
        <f t="shared" si="8"/>
        <v>69</v>
      </c>
      <c r="BI14" s="39">
        <f t="shared" si="9"/>
        <v>21</v>
      </c>
    </row>
    <row r="15" spans="1:61" ht="14.5" customHeight="1">
      <c r="A15" s="19" t="s">
        <v>31</v>
      </c>
      <c r="B15" s="19">
        <v>13</v>
      </c>
      <c r="C15" s="20">
        <v>77</v>
      </c>
      <c r="D15" s="20">
        <v>70</v>
      </c>
      <c r="E15" s="20">
        <v>88</v>
      </c>
      <c r="F15" s="20">
        <v>74</v>
      </c>
      <c r="G15" s="20"/>
      <c r="H15" s="21" t="s">
        <v>336</v>
      </c>
      <c r="I15" s="20">
        <v>0</v>
      </c>
      <c r="J15" s="25">
        <f t="shared" si="0"/>
        <v>309</v>
      </c>
      <c r="K15" s="25">
        <f t="shared" si="1"/>
        <v>77.25</v>
      </c>
      <c r="L15" s="25">
        <f t="shared" si="2"/>
        <v>29</v>
      </c>
      <c r="M15" s="24">
        <v>85</v>
      </c>
      <c r="N15" s="26">
        <f t="shared" si="3"/>
        <v>1.25</v>
      </c>
      <c r="O15" s="17">
        <v>0</v>
      </c>
      <c r="P15" s="17">
        <f t="shared" si="4"/>
        <v>0</v>
      </c>
      <c r="Q15" s="17">
        <f t="shared" si="5"/>
        <v>54.075000000000003</v>
      </c>
      <c r="R15" s="29"/>
      <c r="S15" s="29"/>
      <c r="T15" s="29">
        <v>1</v>
      </c>
      <c r="U15" s="29"/>
      <c r="V15" s="29"/>
      <c r="W15" s="29"/>
      <c r="X15" s="29">
        <v>0.2</v>
      </c>
      <c r="Y15" s="29"/>
      <c r="Z15" s="29"/>
      <c r="AA15" s="29"/>
      <c r="AB15" s="29">
        <v>0.3</v>
      </c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>
        <v>0.5</v>
      </c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>
        <v>2</v>
      </c>
      <c r="AY15" s="29"/>
      <c r="AZ15" s="29">
        <f t="shared" si="6"/>
        <v>4</v>
      </c>
      <c r="BA15" s="36">
        <v>5</v>
      </c>
      <c r="BB15" s="36"/>
      <c r="BC15" s="36"/>
      <c r="BD15" s="36"/>
      <c r="BE15" s="36">
        <v>2</v>
      </c>
      <c r="BF15" s="36"/>
      <c r="BG15" s="36">
        <f t="shared" si="7"/>
        <v>7</v>
      </c>
      <c r="BH15" s="39">
        <f t="shared" si="8"/>
        <v>66.325000000000003</v>
      </c>
      <c r="BI15" s="39">
        <f t="shared" si="9"/>
        <v>30</v>
      </c>
    </row>
    <row r="16" spans="1:61" ht="14.5" customHeight="1">
      <c r="A16" s="19" t="s">
        <v>32</v>
      </c>
      <c r="B16" s="19">
        <v>14</v>
      </c>
      <c r="C16" s="20">
        <v>62</v>
      </c>
      <c r="D16" s="20">
        <v>66</v>
      </c>
      <c r="E16" s="20">
        <v>78</v>
      </c>
      <c r="F16" s="20">
        <v>71</v>
      </c>
      <c r="G16" s="20"/>
      <c r="H16" s="21" t="s">
        <v>336</v>
      </c>
      <c r="I16" s="20">
        <v>0</v>
      </c>
      <c r="J16" s="25">
        <f t="shared" si="0"/>
        <v>277</v>
      </c>
      <c r="K16" s="25">
        <f t="shared" si="1"/>
        <v>69.25</v>
      </c>
      <c r="L16" s="25">
        <f t="shared" si="2"/>
        <v>40</v>
      </c>
      <c r="M16" s="24">
        <v>79</v>
      </c>
      <c r="N16" s="26">
        <f t="shared" si="3"/>
        <v>0.95</v>
      </c>
      <c r="O16" s="17">
        <v>0</v>
      </c>
      <c r="P16" s="17">
        <f t="shared" si="4"/>
        <v>0</v>
      </c>
      <c r="Q16" s="17">
        <f t="shared" si="5"/>
        <v>48.475000000000001</v>
      </c>
      <c r="R16" s="29"/>
      <c r="S16" s="29"/>
      <c r="T16" s="29">
        <v>1</v>
      </c>
      <c r="U16" s="29">
        <v>1</v>
      </c>
      <c r="V16" s="29"/>
      <c r="W16" s="29"/>
      <c r="X16" s="29">
        <v>0.2</v>
      </c>
      <c r="Y16" s="29"/>
      <c r="Z16" s="29"/>
      <c r="AA16" s="29"/>
      <c r="AB16" s="29">
        <v>0.3</v>
      </c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>
        <v>0.5</v>
      </c>
      <c r="AP16" s="29"/>
      <c r="AQ16" s="29"/>
      <c r="AR16" s="29"/>
      <c r="AS16" s="29"/>
      <c r="AT16" s="29"/>
      <c r="AU16" s="29"/>
      <c r="AV16" s="29"/>
      <c r="AW16" s="29"/>
      <c r="AX16" s="29">
        <v>2</v>
      </c>
      <c r="AY16" s="29"/>
      <c r="AZ16" s="29">
        <f t="shared" si="6"/>
        <v>5</v>
      </c>
      <c r="BA16" s="36">
        <v>4.5</v>
      </c>
      <c r="BB16" s="36"/>
      <c r="BC16" s="36"/>
      <c r="BD16" s="36">
        <v>0.2</v>
      </c>
      <c r="BE16" s="36">
        <v>2</v>
      </c>
      <c r="BF16" s="36"/>
      <c r="BG16" s="36">
        <f t="shared" si="7"/>
        <v>6.7</v>
      </c>
      <c r="BH16" s="39">
        <f t="shared" si="8"/>
        <v>61.125</v>
      </c>
      <c r="BI16" s="39">
        <f t="shared" si="9"/>
        <v>40</v>
      </c>
    </row>
    <row r="17" spans="1:61" ht="14.5" customHeight="1">
      <c r="A17" s="19" t="s">
        <v>33</v>
      </c>
      <c r="B17" s="19">
        <v>15</v>
      </c>
      <c r="C17" s="20">
        <v>76</v>
      </c>
      <c r="D17" s="20">
        <v>76</v>
      </c>
      <c r="E17" s="20">
        <v>72</v>
      </c>
      <c r="F17" s="20">
        <v>64</v>
      </c>
      <c r="G17" s="20"/>
      <c r="H17" s="21" t="s">
        <v>336</v>
      </c>
      <c r="I17" s="20">
        <v>0</v>
      </c>
      <c r="J17" s="25">
        <f t="shared" si="0"/>
        <v>288</v>
      </c>
      <c r="K17" s="25">
        <f t="shared" si="1"/>
        <v>72</v>
      </c>
      <c r="L17" s="25">
        <f t="shared" si="2"/>
        <v>38</v>
      </c>
      <c r="M17" s="24">
        <v>82</v>
      </c>
      <c r="N17" s="26">
        <f t="shared" si="3"/>
        <v>1.1000000000000001</v>
      </c>
      <c r="O17" s="17">
        <v>0</v>
      </c>
      <c r="P17" s="17">
        <f t="shared" si="4"/>
        <v>0</v>
      </c>
      <c r="Q17" s="17">
        <f t="shared" si="5"/>
        <v>50.4</v>
      </c>
      <c r="R17" s="29"/>
      <c r="S17" s="29"/>
      <c r="T17" s="29">
        <v>1</v>
      </c>
      <c r="U17" s="29"/>
      <c r="V17" s="30"/>
      <c r="W17" s="30"/>
      <c r="X17" s="30"/>
      <c r="Y17" s="30"/>
      <c r="Z17" s="30"/>
      <c r="AA17" s="30"/>
      <c r="AB17" s="29">
        <v>0.3</v>
      </c>
      <c r="AC17" s="30"/>
      <c r="AD17" s="30"/>
      <c r="AE17" s="30"/>
      <c r="AF17" s="30"/>
      <c r="AG17" s="30"/>
      <c r="AH17" s="30">
        <v>0.3</v>
      </c>
      <c r="AI17" s="30"/>
      <c r="AJ17" s="30"/>
      <c r="AK17" s="30"/>
      <c r="AL17" s="30">
        <v>0.5</v>
      </c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29">
        <v>2</v>
      </c>
      <c r="AY17" s="30"/>
      <c r="AZ17" s="29">
        <f t="shared" si="6"/>
        <v>4.0999999999999996</v>
      </c>
      <c r="BA17" s="36">
        <v>5</v>
      </c>
      <c r="BB17" s="36"/>
      <c r="BC17" s="36">
        <v>0.2</v>
      </c>
      <c r="BD17" s="36"/>
      <c r="BE17" s="36">
        <v>2</v>
      </c>
      <c r="BF17" s="36"/>
      <c r="BG17" s="36">
        <f t="shared" si="7"/>
        <v>7.2</v>
      </c>
      <c r="BH17" s="39">
        <f t="shared" si="8"/>
        <v>62.8</v>
      </c>
      <c r="BI17" s="39">
        <f t="shared" si="9"/>
        <v>39</v>
      </c>
    </row>
    <row r="18" spans="1:61" ht="14.5" customHeight="1">
      <c r="A18" s="19" t="s">
        <v>34</v>
      </c>
      <c r="B18" s="19">
        <v>16</v>
      </c>
      <c r="C18" s="20">
        <v>75</v>
      </c>
      <c r="D18" s="20">
        <v>81</v>
      </c>
      <c r="E18" s="20">
        <v>92</v>
      </c>
      <c r="F18" s="20">
        <v>81</v>
      </c>
      <c r="G18" s="20"/>
      <c r="H18" s="21" t="s">
        <v>336</v>
      </c>
      <c r="I18" s="20">
        <v>0</v>
      </c>
      <c r="J18" s="25">
        <f t="shared" si="0"/>
        <v>329</v>
      </c>
      <c r="K18" s="25">
        <f t="shared" si="1"/>
        <v>82.25</v>
      </c>
      <c r="L18" s="25">
        <f t="shared" si="2"/>
        <v>9</v>
      </c>
      <c r="M18" s="24">
        <v>77</v>
      </c>
      <c r="N18" s="26">
        <f t="shared" si="3"/>
        <v>0.85</v>
      </c>
      <c r="O18" s="17">
        <v>0</v>
      </c>
      <c r="P18" s="17">
        <f t="shared" si="4"/>
        <v>0</v>
      </c>
      <c r="Q18" s="17">
        <f t="shared" si="5"/>
        <v>57.575000000000003</v>
      </c>
      <c r="R18" s="29"/>
      <c r="S18" s="29">
        <v>2</v>
      </c>
      <c r="T18" s="29">
        <v>1</v>
      </c>
      <c r="U18" s="31">
        <v>0.8</v>
      </c>
      <c r="V18" s="29"/>
      <c r="W18" s="29"/>
      <c r="X18" s="29">
        <v>0.2</v>
      </c>
      <c r="Y18" s="29"/>
      <c r="Z18" s="29"/>
      <c r="AA18" s="29"/>
      <c r="AB18" s="29">
        <v>0.3</v>
      </c>
      <c r="AC18" s="29"/>
      <c r="AD18" s="29"/>
      <c r="AE18" s="29"/>
      <c r="AF18" s="29"/>
      <c r="AG18" s="29"/>
      <c r="AH18" s="29"/>
      <c r="AI18" s="29"/>
      <c r="AJ18" s="29">
        <v>0.5</v>
      </c>
      <c r="AK18" s="29"/>
      <c r="AL18" s="29"/>
      <c r="AM18" s="29"/>
      <c r="AN18" s="29">
        <v>1.5</v>
      </c>
      <c r="AO18" s="29"/>
      <c r="AP18" s="29"/>
      <c r="AQ18" s="29"/>
      <c r="AR18" s="29"/>
      <c r="AS18" s="29"/>
      <c r="AT18" s="29"/>
      <c r="AU18" s="29"/>
      <c r="AV18" s="29">
        <v>0.5</v>
      </c>
      <c r="AW18" s="29">
        <v>0.5</v>
      </c>
      <c r="AX18" s="29">
        <v>2</v>
      </c>
      <c r="AY18" s="29"/>
      <c r="AZ18" s="38">
        <f t="shared" si="6"/>
        <v>9.3000000000000007</v>
      </c>
      <c r="BA18" s="36">
        <v>5</v>
      </c>
      <c r="BB18" s="36"/>
      <c r="BC18" s="36"/>
      <c r="BD18" s="36"/>
      <c r="BE18" s="36">
        <v>2</v>
      </c>
      <c r="BF18" s="36"/>
      <c r="BG18" s="36">
        <f t="shared" si="7"/>
        <v>7</v>
      </c>
      <c r="BH18" s="39">
        <f t="shared" si="8"/>
        <v>74.724999999999994</v>
      </c>
      <c r="BI18" s="39">
        <f t="shared" si="9"/>
        <v>8</v>
      </c>
    </row>
    <row r="19" spans="1:61" ht="14.5" customHeight="1">
      <c r="A19" s="19" t="s">
        <v>35</v>
      </c>
      <c r="B19" s="19">
        <v>17</v>
      </c>
      <c r="C19" s="20">
        <v>94</v>
      </c>
      <c r="D19" s="20">
        <v>81</v>
      </c>
      <c r="E19" s="20">
        <v>87</v>
      </c>
      <c r="F19" s="20">
        <v>75</v>
      </c>
      <c r="G19" s="20"/>
      <c r="H19" s="21" t="s">
        <v>336</v>
      </c>
      <c r="I19" s="20">
        <v>0</v>
      </c>
      <c r="J19" s="25">
        <f t="shared" si="0"/>
        <v>337</v>
      </c>
      <c r="K19" s="25">
        <f t="shared" si="1"/>
        <v>84.25</v>
      </c>
      <c r="L19" s="25">
        <f t="shared" si="2"/>
        <v>5</v>
      </c>
      <c r="M19" s="24">
        <v>81</v>
      </c>
      <c r="N19" s="26">
        <f t="shared" si="3"/>
        <v>1.05</v>
      </c>
      <c r="O19" s="17">
        <v>0</v>
      </c>
      <c r="P19" s="17">
        <f t="shared" si="4"/>
        <v>0</v>
      </c>
      <c r="Q19" s="17">
        <f t="shared" si="5"/>
        <v>58.975000000000001</v>
      </c>
      <c r="R19" s="29"/>
      <c r="S19" s="29">
        <v>3</v>
      </c>
      <c r="T19" s="29">
        <v>1</v>
      </c>
      <c r="U19" s="31"/>
      <c r="V19" s="29">
        <v>1.6</v>
      </c>
      <c r="W19" s="29">
        <v>0.3</v>
      </c>
      <c r="X19" s="29">
        <v>0.2</v>
      </c>
      <c r="Y19" s="29"/>
      <c r="Z19" s="29"/>
      <c r="AA19" s="29"/>
      <c r="AB19" s="29">
        <v>0.3</v>
      </c>
      <c r="AC19" s="29">
        <v>0.5</v>
      </c>
      <c r="AD19" s="29">
        <v>0.3</v>
      </c>
      <c r="AE19" s="29"/>
      <c r="AF19" s="29">
        <v>0.8</v>
      </c>
      <c r="AG19" s="29"/>
      <c r="AH19" s="29">
        <v>0.6</v>
      </c>
      <c r="AI19" s="29"/>
      <c r="AJ19" s="29">
        <v>0.6</v>
      </c>
      <c r="AK19" s="29"/>
      <c r="AL19" s="29"/>
      <c r="AM19" s="29">
        <v>0.5</v>
      </c>
      <c r="AN19" s="29">
        <v>1.5</v>
      </c>
      <c r="AO19" s="29"/>
      <c r="AP19" s="29"/>
      <c r="AQ19" s="29"/>
      <c r="AR19" s="29">
        <v>0.5</v>
      </c>
      <c r="AS19" s="29"/>
      <c r="AT19" s="29">
        <v>2.5</v>
      </c>
      <c r="AU19" s="29"/>
      <c r="AV19" s="29">
        <v>0.5</v>
      </c>
      <c r="AW19" s="29"/>
      <c r="AX19" s="29">
        <v>2</v>
      </c>
      <c r="AY19" s="29"/>
      <c r="AZ19" s="38">
        <f t="shared" si="6"/>
        <v>16.7</v>
      </c>
      <c r="BA19" s="36">
        <v>5</v>
      </c>
      <c r="BB19" s="36">
        <v>1.6</v>
      </c>
      <c r="BC19" s="36"/>
      <c r="BD19" s="36"/>
      <c r="BE19" s="36">
        <v>2</v>
      </c>
      <c r="BF19" s="36"/>
      <c r="BG19" s="36">
        <f t="shared" si="7"/>
        <v>8.6</v>
      </c>
      <c r="BH19" s="39">
        <f t="shared" si="8"/>
        <v>85.325000000000003</v>
      </c>
      <c r="BI19" s="39">
        <f t="shared" si="9"/>
        <v>1</v>
      </c>
    </row>
    <row r="20" spans="1:61" ht="14.5" customHeight="1">
      <c r="A20" s="19" t="s">
        <v>36</v>
      </c>
      <c r="B20" s="19">
        <v>18</v>
      </c>
      <c r="C20" s="20">
        <v>86</v>
      </c>
      <c r="D20" s="20">
        <v>67</v>
      </c>
      <c r="E20" s="20">
        <v>86</v>
      </c>
      <c r="F20" s="20">
        <v>73</v>
      </c>
      <c r="G20" s="20"/>
      <c r="H20" s="21" t="s">
        <v>336</v>
      </c>
      <c r="I20" s="20">
        <v>0</v>
      </c>
      <c r="J20" s="25">
        <f t="shared" si="0"/>
        <v>312</v>
      </c>
      <c r="K20" s="25">
        <f t="shared" si="1"/>
        <v>78</v>
      </c>
      <c r="L20" s="25">
        <f t="shared" si="2"/>
        <v>24</v>
      </c>
      <c r="M20" s="24">
        <v>75</v>
      </c>
      <c r="N20" s="26">
        <f t="shared" si="3"/>
        <v>0.75</v>
      </c>
      <c r="O20" s="17">
        <v>0</v>
      </c>
      <c r="P20" s="17">
        <f t="shared" si="4"/>
        <v>0</v>
      </c>
      <c r="Q20" s="17">
        <f t="shared" si="5"/>
        <v>54.6</v>
      </c>
      <c r="R20" s="29"/>
      <c r="S20" s="29"/>
      <c r="T20" s="29">
        <v>1</v>
      </c>
      <c r="U20" s="29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>
        <v>0.5</v>
      </c>
      <c r="AQ20" s="32"/>
      <c r="AR20" s="32"/>
      <c r="AS20" s="32"/>
      <c r="AT20" s="32"/>
      <c r="AU20" s="32"/>
      <c r="AV20" s="32">
        <v>1.5</v>
      </c>
      <c r="AW20" s="32"/>
      <c r="AX20" s="29">
        <v>2</v>
      </c>
      <c r="AY20" s="32"/>
      <c r="AZ20" s="29">
        <f t="shared" si="6"/>
        <v>5</v>
      </c>
      <c r="BA20" s="36">
        <v>4.5</v>
      </c>
      <c r="BB20" s="36"/>
      <c r="BC20" s="36"/>
      <c r="BD20" s="36"/>
      <c r="BE20" s="36">
        <v>2</v>
      </c>
      <c r="BF20" s="36"/>
      <c r="BG20" s="36">
        <f t="shared" si="7"/>
        <v>6.5</v>
      </c>
      <c r="BH20" s="39">
        <f t="shared" si="8"/>
        <v>66.849999999999994</v>
      </c>
      <c r="BI20" s="39">
        <f t="shared" si="9"/>
        <v>29</v>
      </c>
    </row>
    <row r="21" spans="1:61" ht="14.5" customHeight="1">
      <c r="A21" s="19" t="s">
        <v>37</v>
      </c>
      <c r="B21" s="19">
        <v>19</v>
      </c>
      <c r="C21" s="20">
        <v>74</v>
      </c>
      <c r="D21" s="20">
        <v>69</v>
      </c>
      <c r="E21" s="20">
        <v>88</v>
      </c>
      <c r="F21" s="20">
        <v>82</v>
      </c>
      <c r="G21" s="20"/>
      <c r="H21" s="21" t="s">
        <v>336</v>
      </c>
      <c r="I21" s="20">
        <v>0</v>
      </c>
      <c r="J21" s="25">
        <f t="shared" si="0"/>
        <v>313</v>
      </c>
      <c r="K21" s="25">
        <f t="shared" si="1"/>
        <v>78.25</v>
      </c>
      <c r="L21" s="25">
        <f t="shared" si="2"/>
        <v>22</v>
      </c>
      <c r="M21" s="24">
        <v>86</v>
      </c>
      <c r="N21" s="26">
        <f t="shared" si="3"/>
        <v>1.3</v>
      </c>
      <c r="O21" s="17">
        <v>0</v>
      </c>
      <c r="P21" s="17">
        <f t="shared" si="4"/>
        <v>0</v>
      </c>
      <c r="Q21" s="17">
        <f t="shared" si="5"/>
        <v>54.774999999999999</v>
      </c>
      <c r="R21" s="29">
        <v>1</v>
      </c>
      <c r="S21" s="29">
        <v>2</v>
      </c>
      <c r="T21" s="29">
        <v>1</v>
      </c>
      <c r="U21" s="29">
        <v>0.9</v>
      </c>
      <c r="V21" s="29"/>
      <c r="W21" s="29"/>
      <c r="X21" s="29"/>
      <c r="Y21" s="29"/>
      <c r="Z21" s="29"/>
      <c r="AA21" s="29"/>
      <c r="AB21" s="29">
        <v>0.3</v>
      </c>
      <c r="AC21" s="29"/>
      <c r="AD21" s="29"/>
      <c r="AE21" s="29"/>
      <c r="AF21" s="29"/>
      <c r="AG21" s="29"/>
      <c r="AH21" s="29">
        <v>0.8</v>
      </c>
      <c r="AI21" s="29"/>
      <c r="AJ21" s="29"/>
      <c r="AK21" s="29"/>
      <c r="AL21" s="29"/>
      <c r="AM21" s="29">
        <v>0.5</v>
      </c>
      <c r="AN21" s="29"/>
      <c r="AO21" s="29"/>
      <c r="AP21" s="29"/>
      <c r="AQ21" s="29"/>
      <c r="AR21" s="29"/>
      <c r="AS21" s="29"/>
      <c r="AT21" s="29"/>
      <c r="AU21" s="29"/>
      <c r="AV21" s="29">
        <v>0.5</v>
      </c>
      <c r="AW21" s="29"/>
      <c r="AX21" s="29">
        <v>2</v>
      </c>
      <c r="AY21" s="29"/>
      <c r="AZ21" s="29">
        <f t="shared" si="6"/>
        <v>9</v>
      </c>
      <c r="BA21" s="36">
        <v>4.5</v>
      </c>
      <c r="BB21" s="36"/>
      <c r="BC21" s="36">
        <v>0.2</v>
      </c>
      <c r="BD21" s="36"/>
      <c r="BE21" s="36">
        <v>2</v>
      </c>
      <c r="BF21" s="36"/>
      <c r="BG21" s="36">
        <f t="shared" si="7"/>
        <v>6.7</v>
      </c>
      <c r="BH21" s="39">
        <f t="shared" si="8"/>
        <v>71.775000000000006</v>
      </c>
      <c r="BI21" s="39">
        <f t="shared" si="9"/>
        <v>14</v>
      </c>
    </row>
    <row r="22" spans="1:61" ht="14.5" customHeight="1">
      <c r="A22" s="19" t="s">
        <v>38</v>
      </c>
      <c r="B22" s="19">
        <v>20</v>
      </c>
      <c r="C22" s="20">
        <v>65</v>
      </c>
      <c r="D22" s="20">
        <v>65</v>
      </c>
      <c r="E22" s="20">
        <v>84</v>
      </c>
      <c r="F22" s="20">
        <v>75</v>
      </c>
      <c r="G22" s="20"/>
      <c r="H22" s="21" t="s">
        <v>336</v>
      </c>
      <c r="I22" s="20">
        <v>0</v>
      </c>
      <c r="J22" s="25">
        <f t="shared" si="0"/>
        <v>289</v>
      </c>
      <c r="K22" s="25">
        <f t="shared" si="1"/>
        <v>72.25</v>
      </c>
      <c r="L22" s="25">
        <f t="shared" si="2"/>
        <v>37</v>
      </c>
      <c r="M22" s="24">
        <v>85</v>
      </c>
      <c r="N22" s="26">
        <f t="shared" si="3"/>
        <v>1.25</v>
      </c>
      <c r="O22" s="17">
        <v>0</v>
      </c>
      <c r="P22" s="17">
        <f t="shared" si="4"/>
        <v>0</v>
      </c>
      <c r="Q22" s="17">
        <f t="shared" si="5"/>
        <v>50.575000000000003</v>
      </c>
      <c r="R22" s="29">
        <v>1</v>
      </c>
      <c r="S22" s="29"/>
      <c r="T22" s="29">
        <v>1</v>
      </c>
      <c r="U22" s="29">
        <v>0.9</v>
      </c>
      <c r="V22" s="29"/>
      <c r="W22" s="29"/>
      <c r="X22" s="29">
        <v>0.2</v>
      </c>
      <c r="Y22" s="29"/>
      <c r="Z22" s="29"/>
      <c r="AA22" s="29"/>
      <c r="AB22" s="29">
        <v>0.3</v>
      </c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>
        <v>0.5</v>
      </c>
      <c r="AO22" s="29"/>
      <c r="AP22" s="29"/>
      <c r="AQ22" s="29"/>
      <c r="AR22" s="29"/>
      <c r="AS22" s="29"/>
      <c r="AT22" s="29"/>
      <c r="AU22" s="29"/>
      <c r="AV22" s="29"/>
      <c r="AW22" s="29">
        <v>0.5</v>
      </c>
      <c r="AX22" s="29">
        <v>2</v>
      </c>
      <c r="AY22" s="29"/>
      <c r="AZ22" s="29">
        <f t="shared" si="6"/>
        <v>6.4</v>
      </c>
      <c r="BA22" s="36">
        <v>5</v>
      </c>
      <c r="BB22" s="36"/>
      <c r="BC22" s="36"/>
      <c r="BD22" s="36"/>
      <c r="BE22" s="36">
        <v>2</v>
      </c>
      <c r="BF22" s="36"/>
      <c r="BG22" s="36">
        <f t="shared" si="7"/>
        <v>7</v>
      </c>
      <c r="BH22" s="39">
        <f t="shared" si="8"/>
        <v>65.224999999999994</v>
      </c>
      <c r="BI22" s="39">
        <f t="shared" si="9"/>
        <v>34</v>
      </c>
    </row>
    <row r="23" spans="1:61" ht="14.5" customHeight="1">
      <c r="A23" s="19" t="s">
        <v>39</v>
      </c>
      <c r="B23" s="19">
        <v>21</v>
      </c>
      <c r="C23" s="20">
        <v>75</v>
      </c>
      <c r="D23" s="20">
        <v>81</v>
      </c>
      <c r="E23" s="20">
        <v>89</v>
      </c>
      <c r="F23" s="20">
        <v>87</v>
      </c>
      <c r="G23" s="20"/>
      <c r="H23" s="21" t="s">
        <v>336</v>
      </c>
      <c r="I23" s="20">
        <v>0</v>
      </c>
      <c r="J23" s="25">
        <f t="shared" si="0"/>
        <v>332</v>
      </c>
      <c r="K23" s="25">
        <f t="shared" si="1"/>
        <v>83</v>
      </c>
      <c r="L23" s="25">
        <f t="shared" si="2"/>
        <v>7</v>
      </c>
      <c r="M23" s="24">
        <v>83</v>
      </c>
      <c r="N23" s="26">
        <f t="shared" si="3"/>
        <v>1.1499999999999999</v>
      </c>
      <c r="O23" s="17">
        <v>0</v>
      </c>
      <c r="P23" s="17">
        <f t="shared" si="4"/>
        <v>0</v>
      </c>
      <c r="Q23" s="17">
        <f t="shared" si="5"/>
        <v>58.1</v>
      </c>
      <c r="R23" s="29"/>
      <c r="S23" s="29">
        <v>2</v>
      </c>
      <c r="T23" s="29">
        <v>1</v>
      </c>
      <c r="U23" s="29"/>
      <c r="V23" s="29">
        <v>1.8</v>
      </c>
      <c r="W23" s="29"/>
      <c r="X23" s="29"/>
      <c r="Y23" s="29"/>
      <c r="Z23" s="29"/>
      <c r="AA23" s="29"/>
      <c r="AB23" s="29">
        <v>0.3</v>
      </c>
      <c r="AC23" s="29"/>
      <c r="AD23" s="29"/>
      <c r="AE23" s="29"/>
      <c r="AF23" s="29"/>
      <c r="AG23" s="29"/>
      <c r="AH23" s="29"/>
      <c r="AI23" s="29">
        <v>0.5</v>
      </c>
      <c r="AJ23" s="29">
        <v>0.8</v>
      </c>
      <c r="AK23" s="29"/>
      <c r="AL23" s="29">
        <v>0.5</v>
      </c>
      <c r="AM23" s="29">
        <v>0.5</v>
      </c>
      <c r="AN23" s="29">
        <v>0.5</v>
      </c>
      <c r="AO23" s="29"/>
      <c r="AP23" s="29">
        <v>0.5</v>
      </c>
      <c r="AQ23" s="29">
        <v>0.5</v>
      </c>
      <c r="AR23" s="29">
        <v>0.5</v>
      </c>
      <c r="AS23" s="29"/>
      <c r="AT23" s="29"/>
      <c r="AU23" s="29"/>
      <c r="AV23" s="29">
        <v>0.5</v>
      </c>
      <c r="AW23" s="29"/>
      <c r="AX23" s="29">
        <v>2</v>
      </c>
      <c r="AY23" s="29"/>
      <c r="AZ23" s="29">
        <f t="shared" si="6"/>
        <v>11.9</v>
      </c>
      <c r="BA23" s="36">
        <v>5</v>
      </c>
      <c r="BB23" s="36"/>
      <c r="BC23" s="36"/>
      <c r="BD23" s="36"/>
      <c r="BE23" s="36">
        <v>2</v>
      </c>
      <c r="BF23" s="36"/>
      <c r="BG23" s="36">
        <f t="shared" si="7"/>
        <v>7</v>
      </c>
      <c r="BH23" s="39">
        <f t="shared" si="8"/>
        <v>78.150000000000006</v>
      </c>
      <c r="BI23" s="39">
        <f t="shared" si="9"/>
        <v>4</v>
      </c>
    </row>
    <row r="24" spans="1:61" ht="14.5" customHeight="1">
      <c r="A24" s="19" t="s">
        <v>40</v>
      </c>
      <c r="B24" s="19">
        <v>22</v>
      </c>
      <c r="C24" s="20">
        <v>88</v>
      </c>
      <c r="D24" s="20">
        <v>77</v>
      </c>
      <c r="E24" s="20">
        <v>92</v>
      </c>
      <c r="F24" s="20">
        <v>87</v>
      </c>
      <c r="G24" s="20"/>
      <c r="H24" s="21" t="s">
        <v>336</v>
      </c>
      <c r="I24" s="20">
        <v>0</v>
      </c>
      <c r="J24" s="25">
        <f t="shared" si="0"/>
        <v>344</v>
      </c>
      <c r="K24" s="25">
        <f t="shared" si="1"/>
        <v>86</v>
      </c>
      <c r="L24" s="25">
        <f t="shared" si="2"/>
        <v>3</v>
      </c>
      <c r="M24" s="24">
        <v>82</v>
      </c>
      <c r="N24" s="26">
        <f t="shared" si="3"/>
        <v>1.1000000000000001</v>
      </c>
      <c r="O24" s="17">
        <v>0</v>
      </c>
      <c r="P24" s="17">
        <f t="shared" si="4"/>
        <v>0</v>
      </c>
      <c r="Q24" s="17">
        <f t="shared" si="5"/>
        <v>60.2</v>
      </c>
      <c r="R24" s="29"/>
      <c r="S24" s="29">
        <v>1.5</v>
      </c>
      <c r="T24" s="29">
        <v>1</v>
      </c>
      <c r="U24" s="29"/>
      <c r="V24" s="29"/>
      <c r="W24" s="29"/>
      <c r="X24" s="29"/>
      <c r="Y24" s="29"/>
      <c r="Z24" s="29"/>
      <c r="AA24" s="29"/>
      <c r="AB24" s="29">
        <v>0.3</v>
      </c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>
        <v>0.5</v>
      </c>
      <c r="AN24" s="29"/>
      <c r="AO24" s="29"/>
      <c r="AP24" s="29"/>
      <c r="AQ24" s="29"/>
      <c r="AR24" s="29"/>
      <c r="AS24" s="29"/>
      <c r="AT24" s="29">
        <v>0.5</v>
      </c>
      <c r="AU24" s="29"/>
      <c r="AV24" s="29">
        <v>0.5</v>
      </c>
      <c r="AW24" s="29"/>
      <c r="AX24" s="29">
        <v>2</v>
      </c>
      <c r="AY24" s="29"/>
      <c r="AZ24" s="29">
        <f t="shared" si="6"/>
        <v>6.3</v>
      </c>
      <c r="BA24" s="36">
        <v>5</v>
      </c>
      <c r="BB24" s="36"/>
      <c r="BC24" s="36"/>
      <c r="BD24" s="36"/>
      <c r="BE24" s="36">
        <v>2</v>
      </c>
      <c r="BF24" s="36"/>
      <c r="BG24" s="36">
        <f t="shared" si="7"/>
        <v>7</v>
      </c>
      <c r="BH24" s="39">
        <f t="shared" si="8"/>
        <v>74.599999999999994</v>
      </c>
      <c r="BI24" s="39">
        <f t="shared" si="9"/>
        <v>9</v>
      </c>
    </row>
    <row r="25" spans="1:61" ht="14.5" customHeight="1">
      <c r="A25" s="19" t="s">
        <v>41</v>
      </c>
      <c r="B25" s="19">
        <v>23</v>
      </c>
      <c r="C25" s="20">
        <v>80</v>
      </c>
      <c r="D25" s="20">
        <v>66</v>
      </c>
      <c r="E25" s="20">
        <v>87</v>
      </c>
      <c r="F25" s="20">
        <v>78</v>
      </c>
      <c r="G25" s="20"/>
      <c r="H25" s="21" t="s">
        <v>336</v>
      </c>
      <c r="I25" s="20">
        <v>0</v>
      </c>
      <c r="J25" s="25">
        <f t="shared" si="0"/>
        <v>311</v>
      </c>
      <c r="K25" s="25">
        <f t="shared" si="1"/>
        <v>77.75</v>
      </c>
      <c r="L25" s="25">
        <f t="shared" si="2"/>
        <v>26</v>
      </c>
      <c r="M25" s="24">
        <v>80</v>
      </c>
      <c r="N25" s="26">
        <f t="shared" si="3"/>
        <v>1</v>
      </c>
      <c r="O25" s="17">
        <v>0</v>
      </c>
      <c r="P25" s="17">
        <f t="shared" si="4"/>
        <v>0</v>
      </c>
      <c r="Q25" s="17">
        <f t="shared" si="5"/>
        <v>54.424999999999997</v>
      </c>
      <c r="R25" s="29"/>
      <c r="S25" s="29"/>
      <c r="T25" s="29">
        <v>1</v>
      </c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>
        <v>2</v>
      </c>
      <c r="AY25" s="29"/>
      <c r="AZ25" s="29">
        <f t="shared" si="6"/>
        <v>3</v>
      </c>
      <c r="BA25" s="36">
        <v>5</v>
      </c>
      <c r="BB25" s="36"/>
      <c r="BC25" s="36"/>
      <c r="BD25" s="36">
        <v>0.2</v>
      </c>
      <c r="BE25" s="36">
        <v>2</v>
      </c>
      <c r="BF25" s="36"/>
      <c r="BG25" s="36">
        <f t="shared" si="7"/>
        <v>7.2</v>
      </c>
      <c r="BH25" s="39">
        <f t="shared" si="8"/>
        <v>65.625</v>
      </c>
      <c r="BI25" s="39">
        <f t="shared" si="9"/>
        <v>33</v>
      </c>
    </row>
    <row r="26" spans="1:61" ht="14.5" customHeight="1">
      <c r="A26" s="19" t="s">
        <v>42</v>
      </c>
      <c r="B26" s="19">
        <v>24</v>
      </c>
      <c r="C26" s="20">
        <v>76</v>
      </c>
      <c r="D26" s="20">
        <v>73</v>
      </c>
      <c r="E26" s="20">
        <v>83</v>
      </c>
      <c r="F26" s="20">
        <v>79</v>
      </c>
      <c r="G26" s="20"/>
      <c r="H26" s="21" t="s">
        <v>336</v>
      </c>
      <c r="I26" s="20">
        <v>0</v>
      </c>
      <c r="J26" s="25">
        <f t="shared" si="0"/>
        <v>311</v>
      </c>
      <c r="K26" s="25">
        <f t="shared" si="1"/>
        <v>77.75</v>
      </c>
      <c r="L26" s="25">
        <f t="shared" si="2"/>
        <v>26</v>
      </c>
      <c r="M26" s="24">
        <v>85</v>
      </c>
      <c r="N26" s="26">
        <f t="shared" si="3"/>
        <v>1.25</v>
      </c>
      <c r="O26" s="17">
        <v>0</v>
      </c>
      <c r="P26" s="17">
        <f t="shared" si="4"/>
        <v>0</v>
      </c>
      <c r="Q26" s="17">
        <f t="shared" si="5"/>
        <v>54.424999999999997</v>
      </c>
      <c r="R26" s="29"/>
      <c r="S26" s="29"/>
      <c r="T26" s="29">
        <v>1</v>
      </c>
      <c r="U26" s="29">
        <v>0.7</v>
      </c>
      <c r="V26" s="29"/>
      <c r="W26" s="29"/>
      <c r="X26" s="29"/>
      <c r="Y26" s="29"/>
      <c r="Z26" s="29"/>
      <c r="AA26" s="29"/>
      <c r="AB26" s="29">
        <v>0.3</v>
      </c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>
        <v>0.5</v>
      </c>
      <c r="AP26" s="29"/>
      <c r="AQ26" s="29"/>
      <c r="AR26" s="29"/>
      <c r="AS26" s="29"/>
      <c r="AT26" s="29"/>
      <c r="AU26" s="29"/>
      <c r="AV26" s="29"/>
      <c r="AW26" s="29"/>
      <c r="AX26" s="29">
        <v>2</v>
      </c>
      <c r="AY26" s="29"/>
      <c r="AZ26" s="29">
        <f t="shared" si="6"/>
        <v>4.5</v>
      </c>
      <c r="BA26" s="36">
        <v>5</v>
      </c>
      <c r="BB26" s="36"/>
      <c r="BC26" s="36"/>
      <c r="BD26" s="36"/>
      <c r="BE26" s="36">
        <v>2</v>
      </c>
      <c r="BF26" s="36"/>
      <c r="BG26" s="36">
        <f t="shared" si="7"/>
        <v>7</v>
      </c>
      <c r="BH26" s="39">
        <f t="shared" si="8"/>
        <v>67.174999999999997</v>
      </c>
      <c r="BI26" s="39">
        <f t="shared" si="9"/>
        <v>27</v>
      </c>
    </row>
    <row r="27" spans="1:61" ht="14.5" customHeight="1">
      <c r="A27" s="19" t="s">
        <v>43</v>
      </c>
      <c r="B27" s="19">
        <v>25</v>
      </c>
      <c r="C27" s="20">
        <v>82</v>
      </c>
      <c r="D27" s="20">
        <v>76</v>
      </c>
      <c r="E27" s="20">
        <v>92</v>
      </c>
      <c r="F27" s="20">
        <v>77</v>
      </c>
      <c r="G27" s="20"/>
      <c r="H27" s="21" t="s">
        <v>336</v>
      </c>
      <c r="I27" s="20">
        <v>0</v>
      </c>
      <c r="J27" s="25">
        <f t="shared" si="0"/>
        <v>327</v>
      </c>
      <c r="K27" s="25">
        <f t="shared" si="1"/>
        <v>81.75</v>
      </c>
      <c r="L27" s="25">
        <f t="shared" si="2"/>
        <v>12</v>
      </c>
      <c r="M27" s="24">
        <v>81</v>
      </c>
      <c r="N27" s="26">
        <f t="shared" si="3"/>
        <v>1.05</v>
      </c>
      <c r="O27" s="17">
        <v>0</v>
      </c>
      <c r="P27" s="17">
        <f t="shared" si="4"/>
        <v>0</v>
      </c>
      <c r="Q27" s="17">
        <f t="shared" si="5"/>
        <v>57.225000000000001</v>
      </c>
      <c r="R27" s="29"/>
      <c r="S27" s="29">
        <v>1.5</v>
      </c>
      <c r="T27" s="29">
        <v>1</v>
      </c>
      <c r="U27" s="29"/>
      <c r="V27" s="29"/>
      <c r="W27" s="29"/>
      <c r="X27" s="29"/>
      <c r="Y27" s="29"/>
      <c r="Z27" s="29"/>
      <c r="AA27" s="29"/>
      <c r="AB27" s="29">
        <v>0.3</v>
      </c>
      <c r="AC27" s="29">
        <v>0.5</v>
      </c>
      <c r="AD27" s="29"/>
      <c r="AE27" s="29"/>
      <c r="AF27" s="29"/>
      <c r="AG27" s="29"/>
      <c r="AH27" s="29"/>
      <c r="AI27" s="29"/>
      <c r="AJ27" s="29"/>
      <c r="AK27" s="29"/>
      <c r="AL27" s="29">
        <v>0.5</v>
      </c>
      <c r="AM27" s="29"/>
      <c r="AN27" s="29">
        <v>0.5</v>
      </c>
      <c r="AO27" s="29"/>
      <c r="AP27" s="29"/>
      <c r="AQ27" s="29"/>
      <c r="AR27" s="29"/>
      <c r="AS27" s="29"/>
      <c r="AT27" s="29"/>
      <c r="AU27" s="29"/>
      <c r="AV27" s="29"/>
      <c r="AW27" s="29"/>
      <c r="AX27" s="29">
        <v>2</v>
      </c>
      <c r="AY27" s="29"/>
      <c r="AZ27" s="29">
        <f t="shared" si="6"/>
        <v>6.3</v>
      </c>
      <c r="BA27" s="36">
        <v>5</v>
      </c>
      <c r="BB27" s="36"/>
      <c r="BC27" s="36"/>
      <c r="BD27" s="36"/>
      <c r="BE27" s="36">
        <v>2</v>
      </c>
      <c r="BF27" s="36"/>
      <c r="BG27" s="36">
        <f t="shared" si="7"/>
        <v>7</v>
      </c>
      <c r="BH27" s="39">
        <f t="shared" si="8"/>
        <v>71.575000000000003</v>
      </c>
      <c r="BI27" s="39">
        <f t="shared" si="9"/>
        <v>15</v>
      </c>
    </row>
    <row r="28" spans="1:61" ht="14.5" customHeight="1">
      <c r="A28" s="19" t="s">
        <v>44</v>
      </c>
      <c r="B28" s="19">
        <v>26</v>
      </c>
      <c r="C28" s="20">
        <v>84</v>
      </c>
      <c r="D28" s="20">
        <v>69</v>
      </c>
      <c r="E28" s="20">
        <v>88</v>
      </c>
      <c r="F28" s="20">
        <v>82</v>
      </c>
      <c r="G28" s="20"/>
      <c r="H28" s="21" t="s">
        <v>336</v>
      </c>
      <c r="I28" s="20">
        <v>0</v>
      </c>
      <c r="J28" s="25">
        <f t="shared" si="0"/>
        <v>323</v>
      </c>
      <c r="K28" s="25">
        <f t="shared" si="1"/>
        <v>80.75</v>
      </c>
      <c r="L28" s="25">
        <f t="shared" si="2"/>
        <v>17</v>
      </c>
      <c r="M28" s="24">
        <v>81</v>
      </c>
      <c r="N28" s="26">
        <f t="shared" si="3"/>
        <v>1.05</v>
      </c>
      <c r="O28" s="17">
        <v>0</v>
      </c>
      <c r="P28" s="17">
        <f t="shared" si="4"/>
        <v>0</v>
      </c>
      <c r="Q28" s="17">
        <f t="shared" si="5"/>
        <v>56.524999999999999</v>
      </c>
      <c r="R28" s="29"/>
      <c r="S28" s="29">
        <v>1.5</v>
      </c>
      <c r="T28" s="29">
        <v>1</v>
      </c>
      <c r="U28" s="29">
        <v>1</v>
      </c>
      <c r="V28" s="29"/>
      <c r="W28" s="29"/>
      <c r="X28" s="29"/>
      <c r="Y28" s="29"/>
      <c r="Z28" s="29">
        <v>1</v>
      </c>
      <c r="AA28" s="29"/>
      <c r="AB28" s="29">
        <v>0.3</v>
      </c>
      <c r="AC28" s="29">
        <v>0.5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>
        <v>1.5</v>
      </c>
      <c r="AO28" s="29"/>
      <c r="AP28" s="29"/>
      <c r="AQ28" s="29"/>
      <c r="AR28" s="29"/>
      <c r="AS28" s="29">
        <v>0.5</v>
      </c>
      <c r="AT28" s="29"/>
      <c r="AU28" s="29"/>
      <c r="AV28" s="29">
        <v>0.5</v>
      </c>
      <c r="AW28" s="29"/>
      <c r="AX28" s="29">
        <v>2</v>
      </c>
      <c r="AY28" s="29"/>
      <c r="AZ28" s="29">
        <f t="shared" si="6"/>
        <v>9.8000000000000007</v>
      </c>
      <c r="BA28" s="36">
        <v>5</v>
      </c>
      <c r="BB28" s="36"/>
      <c r="BC28" s="36"/>
      <c r="BD28" s="36"/>
      <c r="BE28" s="36">
        <v>2</v>
      </c>
      <c r="BF28" s="36"/>
      <c r="BG28" s="36">
        <f t="shared" si="7"/>
        <v>7</v>
      </c>
      <c r="BH28" s="39">
        <f t="shared" si="8"/>
        <v>74.375</v>
      </c>
      <c r="BI28" s="39">
        <f t="shared" si="9"/>
        <v>10</v>
      </c>
    </row>
    <row r="29" spans="1:61" ht="14.5" customHeight="1">
      <c r="A29" s="19" t="s">
        <v>45</v>
      </c>
      <c r="B29" s="19">
        <v>27</v>
      </c>
      <c r="C29" s="20">
        <v>51</v>
      </c>
      <c r="D29" s="20">
        <v>52</v>
      </c>
      <c r="E29" s="20">
        <v>80</v>
      </c>
      <c r="F29" s="20">
        <v>79</v>
      </c>
      <c r="G29" s="20"/>
      <c r="H29" s="21" t="s">
        <v>336</v>
      </c>
      <c r="I29" s="20">
        <v>2</v>
      </c>
      <c r="J29" s="25">
        <f t="shared" si="0"/>
        <v>262</v>
      </c>
      <c r="K29" s="25">
        <f t="shared" si="1"/>
        <v>65.5</v>
      </c>
      <c r="L29" s="25">
        <f t="shared" si="2"/>
        <v>45</v>
      </c>
      <c r="M29" s="24">
        <v>83</v>
      </c>
      <c r="N29" s="26">
        <f t="shared" si="3"/>
        <v>1.1499999999999999</v>
      </c>
      <c r="O29" s="17">
        <v>0</v>
      </c>
      <c r="P29" s="17">
        <f t="shared" si="4"/>
        <v>-1</v>
      </c>
      <c r="Q29" s="17">
        <f t="shared" si="5"/>
        <v>44.85</v>
      </c>
      <c r="R29" s="29"/>
      <c r="S29" s="29"/>
      <c r="T29" s="29">
        <v>1</v>
      </c>
      <c r="U29" s="29">
        <v>0.9</v>
      </c>
      <c r="V29" s="29"/>
      <c r="W29" s="29"/>
      <c r="X29" s="29"/>
      <c r="Y29" s="29"/>
      <c r="Z29" s="29"/>
      <c r="AA29" s="29"/>
      <c r="AB29" s="29">
        <v>0.3</v>
      </c>
      <c r="AC29" s="29"/>
      <c r="AD29" s="29"/>
      <c r="AE29" s="29"/>
      <c r="AF29" s="29"/>
      <c r="AG29" s="29"/>
      <c r="AH29" s="29"/>
      <c r="AI29" s="29"/>
      <c r="AJ29" s="29"/>
      <c r="AK29" s="29"/>
      <c r="AL29" s="29">
        <v>0.5</v>
      </c>
      <c r="AM29" s="29"/>
      <c r="AN29" s="29"/>
      <c r="AO29" s="29">
        <v>0.5</v>
      </c>
      <c r="AP29" s="29"/>
      <c r="AQ29" s="29"/>
      <c r="AR29" s="29"/>
      <c r="AS29" s="29"/>
      <c r="AT29" s="29"/>
      <c r="AU29" s="29"/>
      <c r="AV29" s="29"/>
      <c r="AW29" s="29">
        <v>0.5</v>
      </c>
      <c r="AX29" s="29">
        <v>2</v>
      </c>
      <c r="AY29" s="29"/>
      <c r="AZ29" s="29">
        <f t="shared" si="6"/>
        <v>5.7</v>
      </c>
      <c r="BA29" s="36">
        <v>5</v>
      </c>
      <c r="BB29" s="36"/>
      <c r="BC29" s="36"/>
      <c r="BD29" s="36"/>
      <c r="BE29" s="36">
        <v>2</v>
      </c>
      <c r="BF29" s="36"/>
      <c r="BG29" s="36">
        <f t="shared" si="7"/>
        <v>7</v>
      </c>
      <c r="BH29" s="39">
        <f t="shared" si="8"/>
        <v>58.7</v>
      </c>
      <c r="BI29" s="39">
        <f t="shared" si="9"/>
        <v>42</v>
      </c>
    </row>
    <row r="30" spans="1:61" ht="14.5" customHeight="1">
      <c r="A30" s="19" t="s">
        <v>46</v>
      </c>
      <c r="B30" s="19">
        <v>28</v>
      </c>
      <c r="C30" s="20">
        <v>75</v>
      </c>
      <c r="D30" s="20">
        <v>67</v>
      </c>
      <c r="E30" s="20">
        <v>80</v>
      </c>
      <c r="F30" s="20">
        <v>84</v>
      </c>
      <c r="G30" s="20"/>
      <c r="H30" s="21" t="s">
        <v>336</v>
      </c>
      <c r="I30" s="20">
        <v>0</v>
      </c>
      <c r="J30" s="25">
        <f t="shared" si="0"/>
        <v>306</v>
      </c>
      <c r="K30" s="25">
        <f t="shared" si="1"/>
        <v>76.5</v>
      </c>
      <c r="L30" s="25">
        <f t="shared" si="2"/>
        <v>30</v>
      </c>
      <c r="M30" s="24">
        <v>85</v>
      </c>
      <c r="N30" s="26">
        <f t="shared" si="3"/>
        <v>1.25</v>
      </c>
      <c r="O30" s="17">
        <v>0</v>
      </c>
      <c r="P30" s="17">
        <f t="shared" si="4"/>
        <v>0</v>
      </c>
      <c r="Q30" s="17">
        <f t="shared" si="5"/>
        <v>53.55</v>
      </c>
      <c r="R30" s="29">
        <v>1</v>
      </c>
      <c r="S30" s="29"/>
      <c r="T30" s="29">
        <v>1</v>
      </c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>
        <v>2</v>
      </c>
      <c r="AY30" s="29"/>
      <c r="AZ30" s="29">
        <f t="shared" si="6"/>
        <v>4</v>
      </c>
      <c r="BA30" s="36">
        <v>5</v>
      </c>
      <c r="BB30" s="36"/>
      <c r="BC30" s="36"/>
      <c r="BD30" s="36">
        <v>0.2</v>
      </c>
      <c r="BE30" s="36">
        <v>2</v>
      </c>
      <c r="BF30" s="36"/>
      <c r="BG30" s="36">
        <f t="shared" si="7"/>
        <v>7.2</v>
      </c>
      <c r="BH30" s="39">
        <f t="shared" si="8"/>
        <v>66</v>
      </c>
      <c r="BI30" s="39">
        <f t="shared" si="9"/>
        <v>31</v>
      </c>
    </row>
    <row r="31" spans="1:61" ht="14.5" customHeight="1">
      <c r="A31" s="19" t="s">
        <v>47</v>
      </c>
      <c r="B31" s="19">
        <v>29</v>
      </c>
      <c r="C31" s="20">
        <v>92</v>
      </c>
      <c r="D31" s="20">
        <v>74</v>
      </c>
      <c r="E31" s="20">
        <v>92</v>
      </c>
      <c r="F31" s="20">
        <v>87</v>
      </c>
      <c r="G31" s="20"/>
      <c r="H31" s="21" t="s">
        <v>336</v>
      </c>
      <c r="I31" s="20">
        <v>0</v>
      </c>
      <c r="J31" s="25">
        <f t="shared" si="0"/>
        <v>345</v>
      </c>
      <c r="K31" s="25">
        <f t="shared" si="1"/>
        <v>86.25</v>
      </c>
      <c r="L31" s="25">
        <f t="shared" si="2"/>
        <v>2</v>
      </c>
      <c r="M31" s="24">
        <v>90</v>
      </c>
      <c r="N31" s="26">
        <f t="shared" si="3"/>
        <v>1.5</v>
      </c>
      <c r="O31" s="17">
        <v>0.8</v>
      </c>
      <c r="P31" s="17">
        <f t="shared" si="4"/>
        <v>0</v>
      </c>
      <c r="Q31" s="17">
        <f t="shared" si="5"/>
        <v>61.174999999999997</v>
      </c>
      <c r="R31" s="29">
        <v>1</v>
      </c>
      <c r="S31" s="29"/>
      <c r="T31" s="29">
        <v>1</v>
      </c>
      <c r="U31" s="29"/>
      <c r="V31" s="29">
        <v>1.8</v>
      </c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>
        <v>0.5</v>
      </c>
      <c r="AN31" s="29"/>
      <c r="AO31" s="29"/>
      <c r="AP31" s="29"/>
      <c r="AQ31" s="29"/>
      <c r="AR31" s="29"/>
      <c r="AS31" s="29"/>
      <c r="AT31" s="29">
        <v>0.5</v>
      </c>
      <c r="AU31" s="29">
        <v>0.8</v>
      </c>
      <c r="AV31" s="29"/>
      <c r="AW31" s="29"/>
      <c r="AX31" s="29">
        <v>2</v>
      </c>
      <c r="AY31" s="29"/>
      <c r="AZ31" s="29">
        <f t="shared" si="6"/>
        <v>7.6</v>
      </c>
      <c r="BA31" s="36">
        <v>5</v>
      </c>
      <c r="BB31" s="36"/>
      <c r="BC31" s="36"/>
      <c r="BD31" s="36"/>
      <c r="BE31" s="36">
        <v>2</v>
      </c>
      <c r="BF31" s="36"/>
      <c r="BG31" s="36">
        <f t="shared" si="7"/>
        <v>7</v>
      </c>
      <c r="BH31" s="39">
        <f t="shared" si="8"/>
        <v>77.275000000000006</v>
      </c>
      <c r="BI31" s="39">
        <f t="shared" si="9"/>
        <v>6</v>
      </c>
    </row>
    <row r="32" spans="1:61" ht="14.5" customHeight="1">
      <c r="A32" s="19" t="s">
        <v>48</v>
      </c>
      <c r="B32" s="19">
        <v>30</v>
      </c>
      <c r="C32" s="20">
        <v>92</v>
      </c>
      <c r="D32" s="20">
        <v>69</v>
      </c>
      <c r="E32" s="20">
        <v>82</v>
      </c>
      <c r="F32" s="20">
        <v>79</v>
      </c>
      <c r="G32" s="20"/>
      <c r="H32" s="21" t="s">
        <v>336</v>
      </c>
      <c r="I32" s="20">
        <v>0</v>
      </c>
      <c r="J32" s="25">
        <f t="shared" si="0"/>
        <v>322</v>
      </c>
      <c r="K32" s="25">
        <f t="shared" si="1"/>
        <v>80.5</v>
      </c>
      <c r="L32" s="25">
        <f t="shared" si="2"/>
        <v>19</v>
      </c>
      <c r="M32" s="24">
        <v>81</v>
      </c>
      <c r="N32" s="26">
        <f t="shared" si="3"/>
        <v>1.05</v>
      </c>
      <c r="O32" s="17">
        <v>0</v>
      </c>
      <c r="P32" s="17">
        <f t="shared" si="4"/>
        <v>0</v>
      </c>
      <c r="Q32" s="17">
        <f t="shared" si="5"/>
        <v>56.35</v>
      </c>
      <c r="R32" s="29"/>
      <c r="S32" s="29">
        <v>1.5</v>
      </c>
      <c r="T32" s="29">
        <v>1</v>
      </c>
      <c r="U32" s="29">
        <v>1</v>
      </c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>
        <v>0.3</v>
      </c>
      <c r="AI32" s="29"/>
      <c r="AJ32" s="29"/>
      <c r="AK32" s="29"/>
      <c r="AL32" s="29"/>
      <c r="AM32" s="35"/>
      <c r="AN32" s="35"/>
      <c r="AO32" s="35"/>
      <c r="AP32" s="35"/>
      <c r="AQ32" s="35"/>
      <c r="AR32" s="35"/>
      <c r="AS32" s="35"/>
      <c r="AT32" s="35"/>
      <c r="AU32" s="35"/>
      <c r="AV32" s="29">
        <v>1.5</v>
      </c>
      <c r="AW32" s="35"/>
      <c r="AX32" s="29">
        <v>2</v>
      </c>
      <c r="AY32" s="29"/>
      <c r="AZ32" s="29">
        <f t="shared" si="6"/>
        <v>7.3</v>
      </c>
      <c r="BA32" s="36">
        <v>5</v>
      </c>
      <c r="BB32" s="36"/>
      <c r="BC32" s="36">
        <v>0.2</v>
      </c>
      <c r="BD32" s="36"/>
      <c r="BE32" s="36">
        <v>2</v>
      </c>
      <c r="BF32" s="36"/>
      <c r="BG32" s="36">
        <f t="shared" si="7"/>
        <v>7.2</v>
      </c>
      <c r="BH32" s="39">
        <f t="shared" si="8"/>
        <v>71.900000000000006</v>
      </c>
      <c r="BI32" s="39">
        <f t="shared" si="9"/>
        <v>13</v>
      </c>
    </row>
    <row r="33" spans="1:61" ht="14.5" customHeight="1">
      <c r="A33" s="19" t="s">
        <v>49</v>
      </c>
      <c r="B33" s="19">
        <v>31</v>
      </c>
      <c r="C33" s="20">
        <v>77</v>
      </c>
      <c r="D33" s="20">
        <v>65</v>
      </c>
      <c r="E33" s="20">
        <v>87</v>
      </c>
      <c r="F33" s="20">
        <v>84</v>
      </c>
      <c r="G33" s="20"/>
      <c r="H33" s="21" t="s">
        <v>336</v>
      </c>
      <c r="I33" s="20">
        <v>0</v>
      </c>
      <c r="J33" s="25">
        <f t="shared" si="0"/>
        <v>313</v>
      </c>
      <c r="K33" s="25">
        <f t="shared" si="1"/>
        <v>78.25</v>
      </c>
      <c r="L33" s="25">
        <f t="shared" si="2"/>
        <v>22</v>
      </c>
      <c r="M33" s="24">
        <v>77</v>
      </c>
      <c r="N33" s="26">
        <f t="shared" si="3"/>
        <v>0.85</v>
      </c>
      <c r="O33" s="17">
        <v>0</v>
      </c>
      <c r="P33" s="17">
        <f t="shared" si="4"/>
        <v>0</v>
      </c>
      <c r="Q33" s="17">
        <f t="shared" si="5"/>
        <v>54.774999999999999</v>
      </c>
      <c r="R33" s="29"/>
      <c r="S33" s="29"/>
      <c r="T33" s="29">
        <v>1</v>
      </c>
      <c r="U33" s="29">
        <v>1</v>
      </c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>
        <v>0.5</v>
      </c>
      <c r="AO33" s="29"/>
      <c r="AP33" s="29">
        <v>0.5</v>
      </c>
      <c r="AQ33" s="29"/>
      <c r="AR33" s="29"/>
      <c r="AS33" s="29"/>
      <c r="AT33" s="29"/>
      <c r="AU33" s="29"/>
      <c r="AV33" s="29"/>
      <c r="AW33" s="29"/>
      <c r="AX33" s="29">
        <v>2</v>
      </c>
      <c r="AY33" s="29"/>
      <c r="AZ33" s="29">
        <f t="shared" si="6"/>
        <v>5</v>
      </c>
      <c r="BA33" s="36">
        <v>5</v>
      </c>
      <c r="BB33" s="36"/>
      <c r="BC33" s="36"/>
      <c r="BD33" s="36"/>
      <c r="BE33" s="36">
        <v>2</v>
      </c>
      <c r="BF33" s="36"/>
      <c r="BG33" s="36">
        <f t="shared" si="7"/>
        <v>7</v>
      </c>
      <c r="BH33" s="39">
        <f t="shared" si="8"/>
        <v>67.625</v>
      </c>
      <c r="BI33" s="39">
        <f t="shared" si="9"/>
        <v>24</v>
      </c>
    </row>
    <row r="34" spans="1:61" ht="14.5" customHeight="1">
      <c r="A34" s="19" t="s">
        <v>50</v>
      </c>
      <c r="B34" s="19">
        <v>32</v>
      </c>
      <c r="C34" s="20">
        <v>93</v>
      </c>
      <c r="D34" s="20">
        <v>70</v>
      </c>
      <c r="E34" s="20">
        <v>95</v>
      </c>
      <c r="F34" s="20">
        <v>91</v>
      </c>
      <c r="G34" s="20"/>
      <c r="H34" s="21" t="s">
        <v>336</v>
      </c>
      <c r="I34" s="20">
        <v>0</v>
      </c>
      <c r="J34" s="25">
        <f t="shared" si="0"/>
        <v>349</v>
      </c>
      <c r="K34" s="25">
        <f t="shared" si="1"/>
        <v>87.25</v>
      </c>
      <c r="L34" s="25">
        <f t="shared" si="2"/>
        <v>1</v>
      </c>
      <c r="M34" s="24">
        <v>92</v>
      </c>
      <c r="N34" s="26">
        <f t="shared" si="3"/>
        <v>1.6</v>
      </c>
      <c r="O34" s="17">
        <v>1</v>
      </c>
      <c r="P34" s="17">
        <f t="shared" si="4"/>
        <v>0</v>
      </c>
      <c r="Q34" s="17">
        <f t="shared" si="5"/>
        <v>62.075000000000003</v>
      </c>
      <c r="R34" s="29"/>
      <c r="S34" s="29">
        <v>2</v>
      </c>
      <c r="T34" s="29">
        <v>1</v>
      </c>
      <c r="U34" s="29"/>
      <c r="V34" s="29">
        <v>1.4</v>
      </c>
      <c r="W34" s="29"/>
      <c r="X34" s="29"/>
      <c r="Y34" s="29"/>
      <c r="Z34" s="29"/>
      <c r="AA34" s="29"/>
      <c r="AB34" s="29">
        <v>0.3</v>
      </c>
      <c r="AC34" s="29">
        <v>0.5</v>
      </c>
      <c r="AD34" s="29"/>
      <c r="AE34" s="29"/>
      <c r="AF34" s="29">
        <v>0.2</v>
      </c>
      <c r="AG34" s="29">
        <v>0.5</v>
      </c>
      <c r="AH34" s="29"/>
      <c r="AI34" s="29">
        <v>0.5</v>
      </c>
      <c r="AJ34" s="29"/>
      <c r="AK34" s="29"/>
      <c r="AL34" s="29">
        <v>0.5</v>
      </c>
      <c r="AM34" s="29">
        <v>0.5</v>
      </c>
      <c r="AN34" s="29"/>
      <c r="AO34" s="29">
        <v>0.5</v>
      </c>
      <c r="AP34" s="29"/>
      <c r="AQ34" s="29"/>
      <c r="AR34" s="29"/>
      <c r="AS34" s="29"/>
      <c r="AT34" s="29"/>
      <c r="AU34" s="29"/>
      <c r="AV34" s="29"/>
      <c r="AW34" s="29"/>
      <c r="AX34" s="29">
        <v>2</v>
      </c>
      <c r="AY34" s="29"/>
      <c r="AZ34" s="29">
        <f t="shared" si="6"/>
        <v>9.9</v>
      </c>
      <c r="BA34" s="36">
        <v>5</v>
      </c>
      <c r="BB34" s="36"/>
      <c r="BC34" s="36"/>
      <c r="BD34" s="36"/>
      <c r="BE34" s="36">
        <v>2</v>
      </c>
      <c r="BF34" s="36"/>
      <c r="BG34" s="36">
        <f t="shared" si="7"/>
        <v>7</v>
      </c>
      <c r="BH34" s="39">
        <f t="shared" si="8"/>
        <v>80.575000000000003</v>
      </c>
      <c r="BI34" s="39">
        <f t="shared" si="9"/>
        <v>2</v>
      </c>
    </row>
    <row r="35" spans="1:61" ht="14.5" customHeight="1">
      <c r="A35" s="19" t="s">
        <v>51</v>
      </c>
      <c r="B35" s="19">
        <v>33</v>
      </c>
      <c r="C35" s="20">
        <v>77</v>
      </c>
      <c r="D35" s="20">
        <v>75</v>
      </c>
      <c r="E35" s="20">
        <v>84</v>
      </c>
      <c r="F35" s="20">
        <v>88</v>
      </c>
      <c r="G35" s="20"/>
      <c r="H35" s="21" t="s">
        <v>336</v>
      </c>
      <c r="I35" s="20">
        <v>0</v>
      </c>
      <c r="J35" s="25">
        <f t="shared" si="0"/>
        <v>324</v>
      </c>
      <c r="K35" s="25">
        <f t="shared" si="1"/>
        <v>81</v>
      </c>
      <c r="L35" s="25">
        <f t="shared" si="2"/>
        <v>15</v>
      </c>
      <c r="M35" s="24">
        <v>85</v>
      </c>
      <c r="N35" s="26">
        <f t="shared" si="3"/>
        <v>1.25</v>
      </c>
      <c r="O35" s="17">
        <v>0</v>
      </c>
      <c r="P35" s="17">
        <f t="shared" si="4"/>
        <v>0</v>
      </c>
      <c r="Q35" s="17">
        <f t="shared" si="5"/>
        <v>56.7</v>
      </c>
      <c r="R35" s="29"/>
      <c r="S35" s="29"/>
      <c r="T35" s="29">
        <v>1</v>
      </c>
      <c r="U35" s="29">
        <v>0.75</v>
      </c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>
        <v>0.5</v>
      </c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>
        <v>0.5</v>
      </c>
      <c r="AX35" s="29">
        <v>2</v>
      </c>
      <c r="AY35" s="29"/>
      <c r="AZ35" s="29">
        <f t="shared" si="6"/>
        <v>4.75</v>
      </c>
      <c r="BA35" s="36">
        <v>5</v>
      </c>
      <c r="BB35" s="36"/>
      <c r="BC35" s="36">
        <v>0.2</v>
      </c>
      <c r="BD35" s="36">
        <v>0.2</v>
      </c>
      <c r="BE35" s="36">
        <v>2</v>
      </c>
      <c r="BF35" s="36"/>
      <c r="BG35" s="36">
        <f t="shared" si="7"/>
        <v>7.4</v>
      </c>
      <c r="BH35" s="39">
        <f t="shared" si="8"/>
        <v>70.099999999999994</v>
      </c>
      <c r="BI35" s="39">
        <f t="shared" si="9"/>
        <v>19</v>
      </c>
    </row>
    <row r="36" spans="1:61" ht="14.5" customHeight="1">
      <c r="A36" s="19" t="s">
        <v>52</v>
      </c>
      <c r="B36" s="19">
        <v>34</v>
      </c>
      <c r="C36" s="20">
        <v>76</v>
      </c>
      <c r="D36" s="20">
        <v>64</v>
      </c>
      <c r="E36" s="20">
        <v>85</v>
      </c>
      <c r="F36" s="20">
        <v>78</v>
      </c>
      <c r="G36" s="20">
        <v>92</v>
      </c>
      <c r="H36" s="21" t="s">
        <v>336</v>
      </c>
      <c r="I36" s="20">
        <v>0</v>
      </c>
      <c r="J36" s="25">
        <f>C36+D36+E36+F36+G36</f>
        <v>395</v>
      </c>
      <c r="K36" s="25">
        <f>J36/5</f>
        <v>79</v>
      </c>
      <c r="L36" s="25">
        <f t="shared" si="2"/>
        <v>21</v>
      </c>
      <c r="M36" s="24">
        <v>76</v>
      </c>
      <c r="N36" s="26">
        <f t="shared" si="3"/>
        <v>0.8</v>
      </c>
      <c r="O36" s="17">
        <v>0</v>
      </c>
      <c r="P36" s="17">
        <f t="shared" si="4"/>
        <v>0</v>
      </c>
      <c r="Q36" s="17">
        <f t="shared" si="5"/>
        <v>55.3</v>
      </c>
      <c r="R36" s="29"/>
      <c r="S36" s="29">
        <v>2</v>
      </c>
      <c r="T36" s="29">
        <v>1</v>
      </c>
      <c r="U36" s="29">
        <v>1</v>
      </c>
      <c r="V36" s="29"/>
      <c r="W36" s="29"/>
      <c r="X36" s="29"/>
      <c r="Y36" s="29"/>
      <c r="Z36" s="29"/>
      <c r="AA36" s="29"/>
      <c r="AB36" s="29">
        <v>0.3</v>
      </c>
      <c r="AC36" s="29"/>
      <c r="AD36" s="29"/>
      <c r="AE36" s="29"/>
      <c r="AF36" s="29"/>
      <c r="AG36" s="29"/>
      <c r="AH36" s="29">
        <v>0.3</v>
      </c>
      <c r="AI36" s="29"/>
      <c r="AJ36" s="29"/>
      <c r="AK36" s="29"/>
      <c r="AL36" s="29"/>
      <c r="AM36" s="29"/>
      <c r="AN36" s="29">
        <v>1.5</v>
      </c>
      <c r="AO36" s="29"/>
      <c r="AP36" s="29"/>
      <c r="AQ36" s="29"/>
      <c r="AR36" s="29">
        <v>0.5</v>
      </c>
      <c r="AS36" s="29">
        <v>0.5</v>
      </c>
      <c r="AT36" s="29"/>
      <c r="AU36" s="29"/>
      <c r="AV36" s="29">
        <v>0.5</v>
      </c>
      <c r="AW36" s="29"/>
      <c r="AX36" s="29">
        <v>2</v>
      </c>
      <c r="AY36" s="29"/>
      <c r="AZ36" s="29">
        <f t="shared" si="6"/>
        <v>9.6</v>
      </c>
      <c r="BA36" s="36">
        <v>5</v>
      </c>
      <c r="BB36" s="36"/>
      <c r="BC36" s="36">
        <v>0.2</v>
      </c>
      <c r="BD36" s="36"/>
      <c r="BE36" s="36">
        <v>2</v>
      </c>
      <c r="BF36" s="36"/>
      <c r="BG36" s="36">
        <f t="shared" si="7"/>
        <v>7.2</v>
      </c>
      <c r="BH36" s="39">
        <f t="shared" si="8"/>
        <v>72.900000000000006</v>
      </c>
      <c r="BI36" s="39">
        <f t="shared" si="9"/>
        <v>12</v>
      </c>
    </row>
    <row r="37" spans="1:61" ht="14.5" customHeight="1">
      <c r="A37" s="19" t="s">
        <v>53</v>
      </c>
      <c r="B37" s="19">
        <v>35</v>
      </c>
      <c r="C37" s="20">
        <v>84</v>
      </c>
      <c r="D37" s="20">
        <v>73</v>
      </c>
      <c r="E37" s="20">
        <v>88</v>
      </c>
      <c r="F37" s="20">
        <v>83</v>
      </c>
      <c r="G37" s="20"/>
      <c r="H37" s="21" t="s">
        <v>336</v>
      </c>
      <c r="I37" s="20">
        <v>0</v>
      </c>
      <c r="J37" s="25">
        <f t="shared" ref="J37:J47" si="10">C37+D37+E37+F37</f>
        <v>328</v>
      </c>
      <c r="K37" s="25">
        <f t="shared" ref="K37:K47" si="11">J37/4</f>
        <v>82</v>
      </c>
      <c r="L37" s="25">
        <f t="shared" si="2"/>
        <v>10</v>
      </c>
      <c r="M37" s="24">
        <v>75</v>
      </c>
      <c r="N37" s="26">
        <f t="shared" si="3"/>
        <v>0.75</v>
      </c>
      <c r="O37" s="17">
        <v>0</v>
      </c>
      <c r="P37" s="17">
        <f t="shared" si="4"/>
        <v>0</v>
      </c>
      <c r="Q37" s="17">
        <f t="shared" si="5"/>
        <v>57.4</v>
      </c>
      <c r="R37" s="29"/>
      <c r="S37" s="29">
        <v>1.5</v>
      </c>
      <c r="T37" s="29">
        <v>1</v>
      </c>
      <c r="U37" s="29">
        <v>0.8</v>
      </c>
      <c r="V37" s="29"/>
      <c r="W37" s="29"/>
      <c r="X37" s="29"/>
      <c r="Y37" s="29"/>
      <c r="Z37" s="29"/>
      <c r="AA37" s="29"/>
      <c r="AB37" s="29">
        <v>0.3</v>
      </c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>
        <v>0.5</v>
      </c>
      <c r="AN37" s="29">
        <v>1.5</v>
      </c>
      <c r="AO37" s="29"/>
      <c r="AP37" s="29"/>
      <c r="AQ37" s="29"/>
      <c r="AR37" s="29">
        <v>0.5</v>
      </c>
      <c r="AS37" s="29"/>
      <c r="AT37" s="29"/>
      <c r="AU37" s="29"/>
      <c r="AV37" s="29">
        <v>0.5</v>
      </c>
      <c r="AW37" s="29"/>
      <c r="AX37" s="29">
        <v>2</v>
      </c>
      <c r="AY37" s="29"/>
      <c r="AZ37" s="29">
        <f t="shared" si="6"/>
        <v>8.6</v>
      </c>
      <c r="BA37" s="36">
        <v>5</v>
      </c>
      <c r="BB37" s="36"/>
      <c r="BC37" s="36"/>
      <c r="BD37" s="36"/>
      <c r="BE37" s="36">
        <v>2</v>
      </c>
      <c r="BF37" s="36"/>
      <c r="BG37" s="36">
        <f t="shared" si="7"/>
        <v>7</v>
      </c>
      <c r="BH37" s="39">
        <f t="shared" si="8"/>
        <v>73.75</v>
      </c>
      <c r="BI37" s="39">
        <f t="shared" si="9"/>
        <v>11</v>
      </c>
    </row>
    <row r="38" spans="1:61" ht="14.5" customHeight="1">
      <c r="A38" s="19" t="s">
        <v>54</v>
      </c>
      <c r="B38" s="19">
        <v>36</v>
      </c>
      <c r="C38" s="20">
        <v>68</v>
      </c>
      <c r="D38" s="20">
        <v>72</v>
      </c>
      <c r="E38" s="20">
        <v>77</v>
      </c>
      <c r="F38" s="20">
        <v>89</v>
      </c>
      <c r="G38" s="20"/>
      <c r="H38" s="21" t="s">
        <v>336</v>
      </c>
      <c r="I38" s="20">
        <v>0</v>
      </c>
      <c r="J38" s="25">
        <f t="shared" si="10"/>
        <v>306</v>
      </c>
      <c r="K38" s="25">
        <f t="shared" si="11"/>
        <v>76.5</v>
      </c>
      <c r="L38" s="25">
        <f t="shared" si="2"/>
        <v>30</v>
      </c>
      <c r="M38" s="24">
        <v>85</v>
      </c>
      <c r="N38" s="26">
        <f t="shared" si="3"/>
        <v>1.25</v>
      </c>
      <c r="O38" s="17">
        <v>0</v>
      </c>
      <c r="P38" s="17">
        <f t="shared" si="4"/>
        <v>0</v>
      </c>
      <c r="Q38" s="17">
        <f t="shared" si="5"/>
        <v>53.55</v>
      </c>
      <c r="R38" s="29"/>
      <c r="S38" s="29"/>
      <c r="T38" s="29">
        <v>1</v>
      </c>
      <c r="U38" s="29"/>
      <c r="V38" s="29"/>
      <c r="W38" s="29"/>
      <c r="X38" s="29"/>
      <c r="Y38" s="29"/>
      <c r="Z38" s="29">
        <v>1</v>
      </c>
      <c r="AA38" s="29"/>
      <c r="AB38" s="29">
        <v>0.3</v>
      </c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>
        <v>0.5</v>
      </c>
      <c r="AN38" s="29"/>
      <c r="AO38" s="29"/>
      <c r="AP38" s="29"/>
      <c r="AQ38" s="29"/>
      <c r="AR38" s="29"/>
      <c r="AS38" s="29">
        <v>0.5</v>
      </c>
      <c r="AT38" s="29"/>
      <c r="AU38" s="29"/>
      <c r="AV38" s="29">
        <v>0.5</v>
      </c>
      <c r="AW38" s="29"/>
      <c r="AX38" s="29">
        <v>2</v>
      </c>
      <c r="AY38" s="29"/>
      <c r="AZ38" s="29">
        <f t="shared" si="6"/>
        <v>5.8</v>
      </c>
      <c r="BA38" s="36">
        <v>4.5</v>
      </c>
      <c r="BB38" s="36"/>
      <c r="BC38" s="36"/>
      <c r="BD38" s="36"/>
      <c r="BE38" s="36">
        <v>2</v>
      </c>
      <c r="BF38" s="36"/>
      <c r="BG38" s="36">
        <f t="shared" si="7"/>
        <v>6.5</v>
      </c>
      <c r="BH38" s="39">
        <f t="shared" si="8"/>
        <v>67.099999999999994</v>
      </c>
      <c r="BI38" s="39">
        <f t="shared" si="9"/>
        <v>28</v>
      </c>
    </row>
    <row r="39" spans="1:61" ht="14.5" customHeight="1">
      <c r="A39" s="19" t="s">
        <v>55</v>
      </c>
      <c r="B39" s="19">
        <v>37</v>
      </c>
      <c r="C39" s="20">
        <v>64</v>
      </c>
      <c r="D39" s="20">
        <v>57</v>
      </c>
      <c r="E39" s="20">
        <v>75</v>
      </c>
      <c r="F39" s="20">
        <v>72</v>
      </c>
      <c r="G39" s="20"/>
      <c r="H39" s="21" t="s">
        <v>336</v>
      </c>
      <c r="I39" s="20">
        <v>1</v>
      </c>
      <c r="J39" s="25">
        <f t="shared" si="10"/>
        <v>268</v>
      </c>
      <c r="K39" s="25">
        <f t="shared" si="11"/>
        <v>67</v>
      </c>
      <c r="L39" s="25">
        <f t="shared" si="2"/>
        <v>44</v>
      </c>
      <c r="M39" s="24">
        <v>85</v>
      </c>
      <c r="N39" s="26">
        <f t="shared" si="3"/>
        <v>1.25</v>
      </c>
      <c r="O39" s="17">
        <v>0</v>
      </c>
      <c r="P39" s="17">
        <f t="shared" si="4"/>
        <v>-0.5</v>
      </c>
      <c r="Q39" s="17">
        <f t="shared" si="5"/>
        <v>46.4</v>
      </c>
      <c r="R39" s="29"/>
      <c r="S39" s="29"/>
      <c r="T39" s="29">
        <v>1</v>
      </c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>
        <v>2</v>
      </c>
      <c r="AY39" s="29"/>
      <c r="AZ39" s="29">
        <f t="shared" si="6"/>
        <v>3</v>
      </c>
      <c r="BA39" s="36">
        <v>5</v>
      </c>
      <c r="BB39" s="36"/>
      <c r="BC39" s="36"/>
      <c r="BD39" s="36"/>
      <c r="BE39" s="36">
        <v>2</v>
      </c>
      <c r="BF39" s="36"/>
      <c r="BG39" s="36">
        <f t="shared" si="7"/>
        <v>7</v>
      </c>
      <c r="BH39" s="39">
        <f t="shared" si="8"/>
        <v>57.65</v>
      </c>
      <c r="BI39" s="39">
        <f t="shared" si="9"/>
        <v>45</v>
      </c>
    </row>
    <row r="40" spans="1:61" ht="14.5" customHeight="1">
      <c r="A40" s="19" t="s">
        <v>56</v>
      </c>
      <c r="B40" s="19">
        <v>39</v>
      </c>
      <c r="C40" s="20">
        <v>80</v>
      </c>
      <c r="D40" s="20">
        <v>74</v>
      </c>
      <c r="E40" s="20">
        <v>93</v>
      </c>
      <c r="F40" s="20">
        <v>87</v>
      </c>
      <c r="G40" s="20"/>
      <c r="H40" s="21" t="s">
        <v>336</v>
      </c>
      <c r="I40" s="20">
        <v>0</v>
      </c>
      <c r="J40" s="25">
        <f t="shared" si="10"/>
        <v>334</v>
      </c>
      <c r="K40" s="25">
        <f t="shared" si="11"/>
        <v>83.5</v>
      </c>
      <c r="L40" s="25">
        <f t="shared" si="2"/>
        <v>6</v>
      </c>
      <c r="M40" s="24">
        <v>87</v>
      </c>
      <c r="N40" s="26">
        <f t="shared" si="3"/>
        <v>1.35</v>
      </c>
      <c r="O40" s="17">
        <v>0</v>
      </c>
      <c r="P40" s="17">
        <f t="shared" si="4"/>
        <v>0</v>
      </c>
      <c r="Q40" s="17">
        <f t="shared" si="5"/>
        <v>58.45</v>
      </c>
      <c r="R40" s="29">
        <v>1</v>
      </c>
      <c r="S40" s="29">
        <v>3</v>
      </c>
      <c r="T40" s="29">
        <v>1</v>
      </c>
      <c r="U40" s="29"/>
      <c r="V40" s="29">
        <v>2</v>
      </c>
      <c r="W40" s="29"/>
      <c r="X40" s="29"/>
      <c r="Y40" s="29"/>
      <c r="Z40" s="29"/>
      <c r="AA40" s="29">
        <v>0.5</v>
      </c>
      <c r="AB40" s="29">
        <v>0.3</v>
      </c>
      <c r="AC40" s="29"/>
      <c r="AD40" s="29">
        <v>0.3</v>
      </c>
      <c r="AE40" s="29"/>
      <c r="AF40" s="29"/>
      <c r="AG40" s="29"/>
      <c r="AH40" s="29"/>
      <c r="AI40" s="29">
        <v>0.5</v>
      </c>
      <c r="AJ40" s="29">
        <v>0.5</v>
      </c>
      <c r="AK40" s="29"/>
      <c r="AL40" s="29"/>
      <c r="AM40" s="29"/>
      <c r="AN40" s="29">
        <v>0.5</v>
      </c>
      <c r="AO40" s="29"/>
      <c r="AP40" s="29"/>
      <c r="AQ40" s="29"/>
      <c r="AR40" s="29"/>
      <c r="AS40" s="29"/>
      <c r="AT40" s="29"/>
      <c r="AU40" s="29"/>
      <c r="AV40" s="29">
        <v>0.5</v>
      </c>
      <c r="AW40" s="29"/>
      <c r="AX40" s="29">
        <v>2</v>
      </c>
      <c r="AY40" s="29"/>
      <c r="AZ40" s="29">
        <f t="shared" si="6"/>
        <v>12.1</v>
      </c>
      <c r="BA40" s="36">
        <v>5</v>
      </c>
      <c r="BB40" s="36">
        <v>0.8</v>
      </c>
      <c r="BC40" s="36"/>
      <c r="BD40" s="36"/>
      <c r="BE40" s="36">
        <v>2</v>
      </c>
      <c r="BF40" s="36"/>
      <c r="BG40" s="36">
        <f t="shared" si="7"/>
        <v>7.8</v>
      </c>
      <c r="BH40" s="39">
        <f t="shared" si="8"/>
        <v>79.7</v>
      </c>
      <c r="BI40" s="39">
        <f t="shared" si="9"/>
        <v>3</v>
      </c>
    </row>
    <row r="41" spans="1:61" ht="14.5" customHeight="1">
      <c r="A41" s="19" t="s">
        <v>57</v>
      </c>
      <c r="B41" s="19">
        <v>40</v>
      </c>
      <c r="C41" s="20">
        <v>56</v>
      </c>
      <c r="D41" s="20">
        <v>58</v>
      </c>
      <c r="E41" s="20">
        <v>79</v>
      </c>
      <c r="F41" s="20">
        <v>76</v>
      </c>
      <c r="G41" s="20"/>
      <c r="H41" s="21" t="s">
        <v>336</v>
      </c>
      <c r="I41" s="20">
        <v>2</v>
      </c>
      <c r="J41" s="25">
        <f t="shared" si="10"/>
        <v>269</v>
      </c>
      <c r="K41" s="25">
        <f t="shared" si="11"/>
        <v>67.25</v>
      </c>
      <c r="L41" s="25">
        <f t="shared" si="2"/>
        <v>42</v>
      </c>
      <c r="M41" s="24">
        <v>76</v>
      </c>
      <c r="N41" s="26">
        <f t="shared" si="3"/>
        <v>0.8</v>
      </c>
      <c r="O41" s="17">
        <v>0</v>
      </c>
      <c r="P41" s="17">
        <f t="shared" si="4"/>
        <v>-1</v>
      </c>
      <c r="Q41" s="17">
        <f t="shared" si="5"/>
        <v>46.075000000000003</v>
      </c>
      <c r="R41" s="29">
        <v>1</v>
      </c>
      <c r="S41" s="29"/>
      <c r="T41" s="29">
        <v>1</v>
      </c>
      <c r="U41" s="29">
        <v>1</v>
      </c>
      <c r="V41" s="29"/>
      <c r="W41" s="29"/>
      <c r="X41" s="29"/>
      <c r="Y41" s="29"/>
      <c r="Z41" s="29"/>
      <c r="AA41" s="29"/>
      <c r="AB41" s="29">
        <v>0.3</v>
      </c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>
        <v>2</v>
      </c>
      <c r="AY41" s="29"/>
      <c r="AZ41" s="29">
        <f t="shared" si="6"/>
        <v>5.3</v>
      </c>
      <c r="BA41" s="36">
        <v>4.5</v>
      </c>
      <c r="BB41" s="36"/>
      <c r="BC41" s="36"/>
      <c r="BD41" s="36"/>
      <c r="BE41" s="36">
        <v>2</v>
      </c>
      <c r="BF41" s="36"/>
      <c r="BG41" s="36">
        <f t="shared" si="7"/>
        <v>6.5</v>
      </c>
      <c r="BH41" s="39">
        <f t="shared" si="8"/>
        <v>58.674999999999997</v>
      </c>
      <c r="BI41" s="39">
        <f t="shared" si="9"/>
        <v>43</v>
      </c>
    </row>
    <row r="42" spans="1:61" ht="14.5" customHeight="1">
      <c r="A42" s="19" t="s">
        <v>58</v>
      </c>
      <c r="B42" s="19">
        <v>41</v>
      </c>
      <c r="C42" s="20">
        <v>89</v>
      </c>
      <c r="D42" s="20">
        <v>87</v>
      </c>
      <c r="E42" s="20">
        <v>87</v>
      </c>
      <c r="F42" s="20">
        <v>81</v>
      </c>
      <c r="G42" s="20"/>
      <c r="H42" s="21" t="s">
        <v>336</v>
      </c>
      <c r="I42" s="20">
        <v>0</v>
      </c>
      <c r="J42" s="25">
        <f t="shared" si="10"/>
        <v>344</v>
      </c>
      <c r="K42" s="25">
        <f t="shared" si="11"/>
        <v>86</v>
      </c>
      <c r="L42" s="25">
        <f t="shared" si="2"/>
        <v>3</v>
      </c>
      <c r="M42" s="24">
        <v>87</v>
      </c>
      <c r="N42" s="26">
        <f t="shared" si="3"/>
        <v>1.35</v>
      </c>
      <c r="O42" s="17">
        <v>0.5</v>
      </c>
      <c r="P42" s="17">
        <f t="shared" si="4"/>
        <v>0</v>
      </c>
      <c r="Q42" s="17">
        <f t="shared" si="5"/>
        <v>60.7</v>
      </c>
      <c r="R42" s="29"/>
      <c r="S42" s="29"/>
      <c r="T42" s="29">
        <v>1</v>
      </c>
      <c r="U42" s="29">
        <v>1</v>
      </c>
      <c r="V42" s="29"/>
      <c r="W42" s="29"/>
      <c r="X42" s="29"/>
      <c r="Y42" s="29"/>
      <c r="Z42" s="29"/>
      <c r="AA42" s="29"/>
      <c r="AB42" s="29">
        <v>0.3</v>
      </c>
      <c r="AC42" s="29"/>
      <c r="AD42" s="29"/>
      <c r="AE42" s="29"/>
      <c r="AF42" s="29"/>
      <c r="AG42" s="29"/>
      <c r="AH42" s="29"/>
      <c r="AI42" s="29"/>
      <c r="AJ42" s="29"/>
      <c r="AK42" s="29"/>
      <c r="AL42" s="29">
        <v>0.5</v>
      </c>
      <c r="AM42" s="29"/>
      <c r="AN42" s="29">
        <v>1.5</v>
      </c>
      <c r="AO42" s="29"/>
      <c r="AP42" s="29">
        <v>0.5</v>
      </c>
      <c r="AQ42" s="29"/>
      <c r="AR42" s="29">
        <v>0.5</v>
      </c>
      <c r="AS42" s="29"/>
      <c r="AT42" s="29"/>
      <c r="AU42" s="29"/>
      <c r="AV42" s="29"/>
      <c r="AW42" s="29"/>
      <c r="AX42" s="29">
        <v>2</v>
      </c>
      <c r="AY42" s="29"/>
      <c r="AZ42" s="29">
        <f t="shared" si="6"/>
        <v>7.3</v>
      </c>
      <c r="BA42" s="36">
        <v>5</v>
      </c>
      <c r="BB42" s="36"/>
      <c r="BC42" s="36">
        <v>0.2</v>
      </c>
      <c r="BD42" s="36"/>
      <c r="BE42" s="36">
        <v>2</v>
      </c>
      <c r="BF42" s="36"/>
      <c r="BG42" s="36">
        <f t="shared" si="7"/>
        <v>7.2</v>
      </c>
      <c r="BH42" s="39">
        <f t="shared" si="8"/>
        <v>76.55</v>
      </c>
      <c r="BI42" s="39">
        <f t="shared" si="9"/>
        <v>7</v>
      </c>
    </row>
    <row r="43" spans="1:61" ht="14.5" customHeight="1">
      <c r="A43" s="19" t="s">
        <v>59</v>
      </c>
      <c r="B43" s="19">
        <v>42</v>
      </c>
      <c r="C43" s="20">
        <v>60</v>
      </c>
      <c r="D43" s="20">
        <v>79</v>
      </c>
      <c r="E43" s="20">
        <v>82</v>
      </c>
      <c r="F43" s="20">
        <v>84</v>
      </c>
      <c r="G43" s="20"/>
      <c r="H43" s="21" t="s">
        <v>336</v>
      </c>
      <c r="I43" s="20">
        <v>0</v>
      </c>
      <c r="J43" s="25">
        <f t="shared" si="10"/>
        <v>305</v>
      </c>
      <c r="K43" s="25">
        <f t="shared" si="11"/>
        <v>76.25</v>
      </c>
      <c r="L43" s="25">
        <f t="shared" si="2"/>
        <v>32</v>
      </c>
      <c r="M43" s="24">
        <v>80</v>
      </c>
      <c r="N43" s="26">
        <f t="shared" si="3"/>
        <v>1</v>
      </c>
      <c r="O43" s="17">
        <v>0</v>
      </c>
      <c r="P43" s="17">
        <f t="shared" si="4"/>
        <v>0</v>
      </c>
      <c r="Q43" s="17">
        <f t="shared" si="5"/>
        <v>53.375</v>
      </c>
      <c r="R43" s="29"/>
      <c r="S43" s="29">
        <v>2</v>
      </c>
      <c r="T43" s="29">
        <v>1</v>
      </c>
      <c r="U43" s="29"/>
      <c r="V43" s="29">
        <v>1</v>
      </c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>
        <v>2</v>
      </c>
      <c r="AY43" s="29"/>
      <c r="AZ43" s="29">
        <f t="shared" si="6"/>
        <v>6</v>
      </c>
      <c r="BA43" s="36">
        <v>5</v>
      </c>
      <c r="BB43" s="36"/>
      <c r="BC43" s="36"/>
      <c r="BD43" s="36">
        <v>0.2</v>
      </c>
      <c r="BE43" s="36">
        <v>2</v>
      </c>
      <c r="BF43" s="36"/>
      <c r="BG43" s="36">
        <f t="shared" si="7"/>
        <v>7.2</v>
      </c>
      <c r="BH43" s="39">
        <f t="shared" si="8"/>
        <v>67.575000000000003</v>
      </c>
      <c r="BI43" s="39">
        <f t="shared" si="9"/>
        <v>26</v>
      </c>
    </row>
    <row r="44" spans="1:61" ht="14.5" customHeight="1">
      <c r="A44" s="19" t="s">
        <v>60</v>
      </c>
      <c r="B44" s="19">
        <v>43</v>
      </c>
      <c r="C44" s="20">
        <v>91</v>
      </c>
      <c r="D44" s="20">
        <v>55</v>
      </c>
      <c r="E44" s="20">
        <v>94</v>
      </c>
      <c r="F44" s="20">
        <v>83</v>
      </c>
      <c r="G44" s="20"/>
      <c r="H44" s="21" t="s">
        <v>336</v>
      </c>
      <c r="I44" s="20">
        <v>1</v>
      </c>
      <c r="J44" s="25">
        <f t="shared" si="10"/>
        <v>323</v>
      </c>
      <c r="K44" s="25">
        <f t="shared" si="11"/>
        <v>80.75</v>
      </c>
      <c r="L44" s="25">
        <f t="shared" si="2"/>
        <v>17</v>
      </c>
      <c r="M44" s="24">
        <v>73</v>
      </c>
      <c r="N44" s="26">
        <f t="shared" si="3"/>
        <v>0.65</v>
      </c>
      <c r="O44" s="17">
        <v>0</v>
      </c>
      <c r="P44" s="17">
        <f t="shared" si="4"/>
        <v>-0.5</v>
      </c>
      <c r="Q44" s="17">
        <f t="shared" si="5"/>
        <v>56.024999999999999</v>
      </c>
      <c r="R44" s="29"/>
      <c r="S44" s="29"/>
      <c r="T44" s="29">
        <v>1</v>
      </c>
      <c r="U44" s="29"/>
      <c r="V44" s="29">
        <v>1.2</v>
      </c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>
        <v>0.5</v>
      </c>
      <c r="AL44" s="29"/>
      <c r="AM44" s="29">
        <v>0.5</v>
      </c>
      <c r="AN44" s="29"/>
      <c r="AO44" s="29"/>
      <c r="AP44" s="29"/>
      <c r="AQ44" s="29"/>
      <c r="AR44" s="29">
        <v>0.5</v>
      </c>
      <c r="AS44" s="29">
        <v>0.5</v>
      </c>
      <c r="AT44" s="29">
        <v>0.5</v>
      </c>
      <c r="AU44" s="29"/>
      <c r="AV44" s="29">
        <v>1.5</v>
      </c>
      <c r="AW44" s="29"/>
      <c r="AX44" s="29">
        <v>2</v>
      </c>
      <c r="AY44" s="29"/>
      <c r="AZ44" s="29">
        <f t="shared" si="6"/>
        <v>8.1999999999999993</v>
      </c>
      <c r="BA44" s="36">
        <v>3.5</v>
      </c>
      <c r="BB44" s="36"/>
      <c r="BC44" s="36"/>
      <c r="BD44" s="36"/>
      <c r="BE44" s="36">
        <v>2</v>
      </c>
      <c r="BF44" s="36"/>
      <c r="BG44" s="36">
        <f t="shared" si="7"/>
        <v>5.5</v>
      </c>
      <c r="BH44" s="39">
        <f t="shared" si="8"/>
        <v>70.375</v>
      </c>
      <c r="BI44" s="39">
        <f t="shared" si="9"/>
        <v>18</v>
      </c>
    </row>
    <row r="45" spans="1:61" ht="14.5" customHeight="1">
      <c r="A45" s="19" t="s">
        <v>61</v>
      </c>
      <c r="B45" s="19">
        <v>44</v>
      </c>
      <c r="C45" s="20">
        <v>76</v>
      </c>
      <c r="D45" s="20">
        <v>76</v>
      </c>
      <c r="E45" s="20">
        <v>92</v>
      </c>
      <c r="F45" s="20">
        <v>88</v>
      </c>
      <c r="G45" s="20"/>
      <c r="H45" s="21" t="s">
        <v>336</v>
      </c>
      <c r="I45" s="20">
        <v>0</v>
      </c>
      <c r="J45" s="25">
        <f t="shared" si="10"/>
        <v>332</v>
      </c>
      <c r="K45" s="25">
        <f t="shared" si="11"/>
        <v>83</v>
      </c>
      <c r="L45" s="25">
        <f t="shared" si="2"/>
        <v>7</v>
      </c>
      <c r="M45" s="24">
        <v>76</v>
      </c>
      <c r="N45" s="26">
        <f t="shared" si="3"/>
        <v>0.8</v>
      </c>
      <c r="O45" s="17">
        <v>0</v>
      </c>
      <c r="P45" s="17">
        <f t="shared" si="4"/>
        <v>0</v>
      </c>
      <c r="Q45" s="17">
        <f t="shared" si="5"/>
        <v>58.1</v>
      </c>
      <c r="R45" s="29"/>
      <c r="S45" s="29"/>
      <c r="T45" s="29">
        <v>1</v>
      </c>
      <c r="U45" s="29">
        <v>0.8</v>
      </c>
      <c r="V45" s="29"/>
      <c r="W45" s="29"/>
      <c r="X45" s="29"/>
      <c r="Y45" s="29"/>
      <c r="Z45" s="29"/>
      <c r="AA45" s="29"/>
      <c r="AB45" s="29">
        <v>0.3</v>
      </c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>
        <v>2</v>
      </c>
      <c r="AY45" s="29"/>
      <c r="AZ45" s="29">
        <f t="shared" si="6"/>
        <v>4.0999999999999996</v>
      </c>
      <c r="BA45" s="36">
        <v>5</v>
      </c>
      <c r="BB45" s="36"/>
      <c r="BC45" s="36"/>
      <c r="BD45" s="36"/>
      <c r="BE45" s="36">
        <v>2</v>
      </c>
      <c r="BF45" s="36"/>
      <c r="BG45" s="36">
        <f t="shared" si="7"/>
        <v>7</v>
      </c>
      <c r="BH45" s="39">
        <f t="shared" si="8"/>
        <v>70</v>
      </c>
      <c r="BI45" s="39">
        <f t="shared" si="9"/>
        <v>20</v>
      </c>
    </row>
    <row r="46" spans="1:61" ht="14.5" customHeight="1">
      <c r="A46" s="19" t="s">
        <v>62</v>
      </c>
      <c r="B46" s="19">
        <v>45</v>
      </c>
      <c r="C46" s="20">
        <v>61</v>
      </c>
      <c r="D46" s="20">
        <v>73</v>
      </c>
      <c r="E46" s="20">
        <v>84</v>
      </c>
      <c r="F46" s="20">
        <v>93</v>
      </c>
      <c r="G46" s="20"/>
      <c r="H46" s="21" t="s">
        <v>336</v>
      </c>
      <c r="I46" s="20">
        <v>0</v>
      </c>
      <c r="J46" s="25">
        <f t="shared" si="10"/>
        <v>311</v>
      </c>
      <c r="K46" s="25">
        <f t="shared" si="11"/>
        <v>77.75</v>
      </c>
      <c r="L46" s="25">
        <f t="shared" si="2"/>
        <v>26</v>
      </c>
      <c r="M46" s="24">
        <v>85</v>
      </c>
      <c r="N46" s="26">
        <f t="shared" si="3"/>
        <v>1.25</v>
      </c>
      <c r="O46" s="17">
        <v>0</v>
      </c>
      <c r="P46" s="17">
        <f t="shared" si="4"/>
        <v>0</v>
      </c>
      <c r="Q46" s="17">
        <f t="shared" si="5"/>
        <v>54.424999999999997</v>
      </c>
      <c r="R46" s="29"/>
      <c r="S46" s="29">
        <v>2</v>
      </c>
      <c r="T46" s="29">
        <v>1</v>
      </c>
      <c r="U46" s="29"/>
      <c r="V46" s="29"/>
      <c r="W46" s="29"/>
      <c r="X46" s="29"/>
      <c r="Y46" s="29"/>
      <c r="Z46" s="29"/>
      <c r="AA46" s="29"/>
      <c r="AB46" s="29">
        <v>0.3</v>
      </c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>
        <v>0.5</v>
      </c>
      <c r="AS46" s="29"/>
      <c r="AT46" s="29"/>
      <c r="AU46" s="29"/>
      <c r="AV46" s="29"/>
      <c r="AW46" s="29"/>
      <c r="AX46" s="29">
        <v>2</v>
      </c>
      <c r="AY46" s="29"/>
      <c r="AZ46" s="29">
        <f t="shared" si="6"/>
        <v>5.8</v>
      </c>
      <c r="BA46" s="36">
        <v>5</v>
      </c>
      <c r="BB46" s="36"/>
      <c r="BC46" s="36"/>
      <c r="BD46" s="36">
        <v>0.2</v>
      </c>
      <c r="BE46" s="36">
        <v>2</v>
      </c>
      <c r="BF46" s="36"/>
      <c r="BG46" s="36">
        <f t="shared" si="7"/>
        <v>7.2</v>
      </c>
      <c r="BH46" s="39">
        <f t="shared" si="8"/>
        <v>68.674999999999997</v>
      </c>
      <c r="BI46" s="39">
        <f t="shared" si="9"/>
        <v>23</v>
      </c>
    </row>
    <row r="47" spans="1:61" ht="14.5" customHeight="1">
      <c r="A47" s="19" t="s">
        <v>66</v>
      </c>
      <c r="B47" s="19">
        <f>VLOOKUP(A47,[1]Sheet1!$A$2:$B$47,2,FALSE)</f>
        <v>2811190230</v>
      </c>
      <c r="C47" s="22">
        <v>80</v>
      </c>
      <c r="D47" s="20">
        <v>80</v>
      </c>
      <c r="E47" s="20">
        <v>84</v>
      </c>
      <c r="F47" s="20">
        <v>76</v>
      </c>
      <c r="G47" s="20"/>
      <c r="H47" s="21" t="s">
        <v>336</v>
      </c>
      <c r="I47" s="20">
        <v>0</v>
      </c>
      <c r="J47" s="27">
        <f t="shared" si="10"/>
        <v>320</v>
      </c>
      <c r="K47" s="27">
        <f t="shared" si="11"/>
        <v>80</v>
      </c>
      <c r="L47" s="25">
        <f t="shared" si="2"/>
        <v>20</v>
      </c>
      <c r="M47" s="24">
        <v>82</v>
      </c>
      <c r="N47" s="26">
        <f t="shared" si="3"/>
        <v>1.1000000000000001</v>
      </c>
      <c r="O47" s="17">
        <v>0</v>
      </c>
      <c r="P47" s="17">
        <f t="shared" si="4"/>
        <v>0</v>
      </c>
      <c r="Q47" s="33">
        <f t="shared" si="5"/>
        <v>56</v>
      </c>
      <c r="R47" s="29"/>
      <c r="S47" s="29"/>
      <c r="T47" s="29">
        <v>1</v>
      </c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>
        <v>0.5</v>
      </c>
      <c r="AF47" s="29"/>
      <c r="AG47" s="29"/>
      <c r="AH47" s="29"/>
      <c r="AI47" s="29"/>
      <c r="AJ47" s="29"/>
      <c r="AK47" s="29"/>
      <c r="AL47" s="29"/>
      <c r="AM47" s="29"/>
      <c r="AN47" s="29">
        <v>0.5</v>
      </c>
      <c r="AO47" s="29"/>
      <c r="AP47" s="29"/>
      <c r="AQ47" s="29"/>
      <c r="AR47" s="29"/>
      <c r="AS47" s="29"/>
      <c r="AT47" s="29"/>
      <c r="AU47" s="29"/>
      <c r="AV47" s="29"/>
      <c r="AW47" s="29"/>
      <c r="AX47" s="29">
        <v>2</v>
      </c>
      <c r="AY47" s="29"/>
      <c r="AZ47" s="29">
        <f t="shared" si="6"/>
        <v>4</v>
      </c>
      <c r="BA47" s="36">
        <v>4.5</v>
      </c>
      <c r="BB47" s="36"/>
      <c r="BC47" s="36"/>
      <c r="BD47" s="36"/>
      <c r="BE47" s="36">
        <v>2</v>
      </c>
      <c r="BF47" s="36"/>
      <c r="BG47" s="36">
        <f t="shared" si="7"/>
        <v>6.5</v>
      </c>
      <c r="BH47" s="39">
        <f t="shared" si="8"/>
        <v>67.599999999999994</v>
      </c>
      <c r="BI47" s="39">
        <f t="shared" si="9"/>
        <v>25</v>
      </c>
    </row>
  </sheetData>
  <protectedRanges>
    <protectedRange sqref="V1:V47" name="Range1"/>
  </protectedRanges>
  <mergeCells count="7">
    <mergeCell ref="BA1:BG1"/>
    <mergeCell ref="BH1:BI1"/>
    <mergeCell ref="C1:I1"/>
    <mergeCell ref="J1:L1"/>
    <mergeCell ref="M1:N1"/>
    <mergeCell ref="O1:Q1"/>
    <mergeCell ref="S1:AZ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48"/>
  <sheetViews>
    <sheetView workbookViewId="0">
      <selection sqref="A1:B1"/>
    </sheetView>
  </sheetViews>
  <sheetFormatPr defaultColWidth="8.15234375" defaultRowHeight="14.5" customHeight="1"/>
  <cols>
    <col min="2" max="2" width="17.84375" style="2" customWidth="1"/>
    <col min="6" max="8" width="0.15234375" style="2" customWidth="1"/>
    <col min="9" max="9" width="34.4609375" style="3" customWidth="1"/>
    <col min="13" max="15" width="0.15234375" style="2" customWidth="1"/>
    <col min="16" max="16" width="40.15234375" style="2" customWidth="1"/>
  </cols>
  <sheetData>
    <row r="1" spans="1:16" ht="14.5" customHeight="1">
      <c r="A1" s="204" t="s">
        <v>341</v>
      </c>
      <c r="B1" s="204"/>
      <c r="C1" s="204" t="s">
        <v>10</v>
      </c>
      <c r="D1" s="204"/>
      <c r="E1" s="204"/>
      <c r="F1" s="4"/>
      <c r="G1" s="4"/>
      <c r="H1" s="4"/>
      <c r="I1" s="4" t="s">
        <v>342</v>
      </c>
      <c r="J1" s="204" t="s">
        <v>13</v>
      </c>
      <c r="K1" s="204"/>
      <c r="L1" s="204"/>
      <c r="M1" s="11"/>
      <c r="N1" s="11"/>
      <c r="O1" s="11"/>
      <c r="P1" s="4" t="s">
        <v>343</v>
      </c>
    </row>
    <row r="2" spans="1:16" ht="36" customHeight="1">
      <c r="A2" s="5" t="s">
        <v>7</v>
      </c>
      <c r="B2" s="6" t="s">
        <v>9</v>
      </c>
      <c r="C2" s="6" t="s">
        <v>286</v>
      </c>
      <c r="D2" s="6" t="s">
        <v>344</v>
      </c>
      <c r="E2" s="6" t="s">
        <v>345</v>
      </c>
      <c r="F2" s="6"/>
      <c r="G2" s="6"/>
      <c r="H2" s="6"/>
      <c r="I2" s="6" t="s">
        <v>346</v>
      </c>
      <c r="J2" s="6" t="s">
        <v>286</v>
      </c>
      <c r="K2" s="6" t="s">
        <v>344</v>
      </c>
      <c r="L2" s="6" t="s">
        <v>345</v>
      </c>
      <c r="M2" s="6"/>
      <c r="N2" s="6"/>
      <c r="O2" s="6"/>
      <c r="P2" s="6" t="s">
        <v>346</v>
      </c>
    </row>
    <row r="3" spans="1:16" s="1" customFormat="1" ht="24" customHeight="1">
      <c r="A3" s="7" t="s">
        <v>19</v>
      </c>
      <c r="B3" s="8">
        <v>2513200101</v>
      </c>
      <c r="C3" s="7">
        <v>12</v>
      </c>
      <c r="D3" s="7">
        <v>21</v>
      </c>
      <c r="E3" s="7">
        <v>21</v>
      </c>
      <c r="F3" s="9">
        <f t="shared" ref="F3:F48" si="0">C3*-1</f>
        <v>-12</v>
      </c>
      <c r="G3" s="9">
        <f t="shared" ref="G3:G48" si="1">D3*-1</f>
        <v>-21</v>
      </c>
      <c r="H3" s="9">
        <f t="shared" ref="H3:H48" si="2">E3*-1</f>
        <v>-21</v>
      </c>
      <c r="I3" s="12"/>
      <c r="J3" s="7">
        <v>5</v>
      </c>
      <c r="K3" s="7">
        <v>11</v>
      </c>
      <c r="L3" s="7">
        <v>21</v>
      </c>
      <c r="M3" s="1">
        <f t="shared" ref="M3:M48" si="3">J3*-1</f>
        <v>-5</v>
      </c>
      <c r="N3" s="13">
        <f t="shared" ref="N3:N48" si="4">K3*-1</f>
        <v>-11</v>
      </c>
      <c r="O3" s="1">
        <f t="shared" ref="O3:O48" si="5">L3*-1</f>
        <v>-21</v>
      </c>
      <c r="P3" s="14"/>
    </row>
    <row r="4" spans="1:16" s="1" customFormat="1" ht="24" customHeight="1">
      <c r="A4" s="7" t="s">
        <v>21</v>
      </c>
      <c r="B4" s="8">
        <v>2513200103</v>
      </c>
      <c r="C4" s="7">
        <v>34</v>
      </c>
      <c r="D4" s="7">
        <v>38</v>
      </c>
      <c r="E4" s="7">
        <v>39</v>
      </c>
      <c r="F4" s="9">
        <f t="shared" si="0"/>
        <v>-34</v>
      </c>
      <c r="G4" s="9">
        <f t="shared" si="1"/>
        <v>-38</v>
      </c>
      <c r="H4" s="9">
        <f t="shared" si="2"/>
        <v>-39</v>
      </c>
      <c r="I4" s="12"/>
      <c r="J4" s="7">
        <v>35</v>
      </c>
      <c r="K4" s="7">
        <v>34</v>
      </c>
      <c r="L4" s="7">
        <v>39</v>
      </c>
      <c r="M4" s="1">
        <f t="shared" si="3"/>
        <v>-35</v>
      </c>
      <c r="N4" s="13">
        <f t="shared" si="4"/>
        <v>-34</v>
      </c>
      <c r="O4" s="1">
        <f t="shared" si="5"/>
        <v>-39</v>
      </c>
      <c r="P4" s="14"/>
    </row>
    <row r="5" spans="1:16" s="1" customFormat="1" ht="24" customHeight="1">
      <c r="A5" s="7" t="s">
        <v>22</v>
      </c>
      <c r="B5" s="8">
        <v>2513200104</v>
      </c>
      <c r="C5" s="7">
        <v>41</v>
      </c>
      <c r="D5" s="7">
        <v>43</v>
      </c>
      <c r="E5" s="7">
        <v>38</v>
      </c>
      <c r="F5" s="9">
        <f t="shared" si="0"/>
        <v>-41</v>
      </c>
      <c r="G5" s="9">
        <f t="shared" si="1"/>
        <v>-43</v>
      </c>
      <c r="H5" s="9">
        <f t="shared" si="2"/>
        <v>-38</v>
      </c>
      <c r="I5" s="12"/>
      <c r="J5" s="7">
        <v>41</v>
      </c>
      <c r="K5" s="7">
        <v>46</v>
      </c>
      <c r="L5" s="7">
        <v>38</v>
      </c>
      <c r="M5" s="1">
        <f t="shared" si="3"/>
        <v>-41</v>
      </c>
      <c r="N5" s="13">
        <f t="shared" si="4"/>
        <v>-46</v>
      </c>
      <c r="O5" s="1">
        <f t="shared" si="5"/>
        <v>-38</v>
      </c>
      <c r="P5" s="14"/>
    </row>
    <row r="6" spans="1:16" s="1" customFormat="1" ht="24" customHeight="1">
      <c r="A6" s="7" t="s">
        <v>23</v>
      </c>
      <c r="B6" s="8">
        <v>2513200105</v>
      </c>
      <c r="C6" s="7">
        <v>15</v>
      </c>
      <c r="D6" s="7">
        <v>16</v>
      </c>
      <c r="E6" s="7">
        <v>14</v>
      </c>
      <c r="F6" s="9">
        <f t="shared" si="0"/>
        <v>-15</v>
      </c>
      <c r="G6" s="9">
        <f t="shared" si="1"/>
        <v>-16</v>
      </c>
      <c r="H6" s="9">
        <f t="shared" si="2"/>
        <v>-14</v>
      </c>
      <c r="I6" s="12"/>
      <c r="J6" s="7">
        <v>22</v>
      </c>
      <c r="K6" s="7">
        <v>18</v>
      </c>
      <c r="L6" s="7">
        <v>14</v>
      </c>
      <c r="M6" s="1">
        <f t="shared" si="3"/>
        <v>-22</v>
      </c>
      <c r="N6" s="13">
        <f t="shared" si="4"/>
        <v>-18</v>
      </c>
      <c r="O6" s="1">
        <f t="shared" si="5"/>
        <v>-14</v>
      </c>
      <c r="P6" s="14"/>
    </row>
    <row r="7" spans="1:16" s="1" customFormat="1" ht="24" customHeight="1">
      <c r="A7" s="7" t="s">
        <v>24</v>
      </c>
      <c r="B7" s="8">
        <v>2513200106</v>
      </c>
      <c r="C7" s="7">
        <v>14</v>
      </c>
      <c r="D7" s="7">
        <v>18</v>
      </c>
      <c r="E7" s="7">
        <v>16</v>
      </c>
      <c r="F7" s="9">
        <f t="shared" si="0"/>
        <v>-14</v>
      </c>
      <c r="G7" s="9">
        <f t="shared" si="1"/>
        <v>-18</v>
      </c>
      <c r="H7" s="9">
        <f t="shared" si="2"/>
        <v>-16</v>
      </c>
      <c r="I7" s="12"/>
      <c r="J7" s="7">
        <v>17</v>
      </c>
      <c r="K7" s="7">
        <v>16</v>
      </c>
      <c r="L7" s="7">
        <v>16</v>
      </c>
      <c r="M7" s="1">
        <f t="shared" si="3"/>
        <v>-17</v>
      </c>
      <c r="N7" s="13">
        <f t="shared" si="4"/>
        <v>-16</v>
      </c>
      <c r="O7" s="1">
        <f t="shared" si="5"/>
        <v>-16</v>
      </c>
      <c r="P7" s="14"/>
    </row>
    <row r="8" spans="1:16" s="1" customFormat="1" ht="24" customHeight="1">
      <c r="A8" s="7" t="s">
        <v>25</v>
      </c>
      <c r="B8" s="8">
        <v>2513200107</v>
      </c>
      <c r="C8" s="7">
        <v>35</v>
      </c>
      <c r="D8" s="7">
        <v>28</v>
      </c>
      <c r="E8" s="7">
        <v>30</v>
      </c>
      <c r="F8" s="9">
        <f t="shared" si="0"/>
        <v>-35</v>
      </c>
      <c r="G8" s="9">
        <f t="shared" si="1"/>
        <v>-28</v>
      </c>
      <c r="H8" s="9">
        <f t="shared" si="2"/>
        <v>-30</v>
      </c>
      <c r="I8" s="12"/>
      <c r="J8" s="7">
        <v>36</v>
      </c>
      <c r="K8" s="7">
        <v>30</v>
      </c>
      <c r="L8" s="7">
        <v>30</v>
      </c>
      <c r="M8" s="1">
        <f t="shared" si="3"/>
        <v>-36</v>
      </c>
      <c r="N8" s="13">
        <f t="shared" si="4"/>
        <v>-30</v>
      </c>
      <c r="O8" s="1">
        <f t="shared" si="5"/>
        <v>-30</v>
      </c>
      <c r="P8" s="14"/>
    </row>
    <row r="9" spans="1:16" s="1" customFormat="1" ht="24" customHeight="1">
      <c r="A9" s="7" t="s">
        <v>26</v>
      </c>
      <c r="B9" s="8">
        <v>2513200108</v>
      </c>
      <c r="C9" s="7">
        <v>10</v>
      </c>
      <c r="D9" s="7">
        <v>17</v>
      </c>
      <c r="E9" s="7">
        <v>15</v>
      </c>
      <c r="F9" s="9">
        <f t="shared" si="0"/>
        <v>-10</v>
      </c>
      <c r="G9" s="9">
        <f t="shared" si="1"/>
        <v>-17</v>
      </c>
      <c r="H9" s="9">
        <f t="shared" si="2"/>
        <v>-15</v>
      </c>
      <c r="I9" s="12"/>
      <c r="J9" s="7">
        <v>16</v>
      </c>
      <c r="K9" s="7">
        <v>25</v>
      </c>
      <c r="L9" s="7">
        <v>15</v>
      </c>
      <c r="M9" s="1">
        <f t="shared" si="3"/>
        <v>-16</v>
      </c>
      <c r="N9" s="13">
        <f t="shared" si="4"/>
        <v>-25</v>
      </c>
      <c r="O9" s="1">
        <f t="shared" si="5"/>
        <v>-15</v>
      </c>
      <c r="P9" s="14"/>
    </row>
    <row r="10" spans="1:16" s="1" customFormat="1" ht="24" customHeight="1">
      <c r="A10" s="7" t="s">
        <v>27</v>
      </c>
      <c r="B10" s="8">
        <v>2513200109</v>
      </c>
      <c r="C10" s="7">
        <v>42</v>
      </c>
      <c r="D10" s="7">
        <v>34</v>
      </c>
      <c r="E10" s="7">
        <v>36</v>
      </c>
      <c r="F10" s="9">
        <f t="shared" si="0"/>
        <v>-42</v>
      </c>
      <c r="G10" s="9">
        <f t="shared" si="1"/>
        <v>-34</v>
      </c>
      <c r="H10" s="9">
        <f t="shared" si="2"/>
        <v>-36</v>
      </c>
      <c r="I10" s="12"/>
      <c r="J10" s="7">
        <v>44</v>
      </c>
      <c r="K10" s="7">
        <v>31</v>
      </c>
      <c r="L10" s="7">
        <v>36</v>
      </c>
      <c r="M10" s="1">
        <f t="shared" si="3"/>
        <v>-44</v>
      </c>
      <c r="N10" s="13">
        <f t="shared" si="4"/>
        <v>-31</v>
      </c>
      <c r="O10" s="1">
        <f t="shared" si="5"/>
        <v>-36</v>
      </c>
      <c r="P10" s="14"/>
    </row>
    <row r="11" spans="1:16" s="1" customFormat="1" ht="24" customHeight="1">
      <c r="A11" s="7" t="s">
        <v>28</v>
      </c>
      <c r="B11" s="8">
        <v>2513200110</v>
      </c>
      <c r="C11" s="7">
        <v>35</v>
      </c>
      <c r="D11" s="7">
        <v>14</v>
      </c>
      <c r="E11" s="7">
        <v>24</v>
      </c>
      <c r="F11" s="9">
        <f t="shared" si="0"/>
        <v>-35</v>
      </c>
      <c r="G11" s="9">
        <f t="shared" si="1"/>
        <v>-14</v>
      </c>
      <c r="H11" s="9">
        <f t="shared" si="2"/>
        <v>-24</v>
      </c>
      <c r="I11" s="12"/>
      <c r="J11" s="7">
        <v>37</v>
      </c>
      <c r="K11" s="7">
        <v>17</v>
      </c>
      <c r="L11" s="7">
        <v>24</v>
      </c>
      <c r="M11" s="1">
        <f t="shared" si="3"/>
        <v>-37</v>
      </c>
      <c r="N11" s="13">
        <f t="shared" si="4"/>
        <v>-17</v>
      </c>
      <c r="O11" s="1">
        <f t="shared" si="5"/>
        <v>-24</v>
      </c>
      <c r="P11" s="14"/>
    </row>
    <row r="12" spans="1:16" s="1" customFormat="1" ht="24" customHeight="1">
      <c r="A12" s="7" t="s">
        <v>29</v>
      </c>
      <c r="B12" s="8">
        <v>2513200111</v>
      </c>
      <c r="C12" s="7">
        <v>38</v>
      </c>
      <c r="D12" s="7">
        <v>36</v>
      </c>
      <c r="E12" s="7">
        <v>32</v>
      </c>
      <c r="F12" s="9">
        <f t="shared" si="0"/>
        <v>-38</v>
      </c>
      <c r="G12" s="9">
        <f t="shared" si="1"/>
        <v>-36</v>
      </c>
      <c r="H12" s="9">
        <f t="shared" si="2"/>
        <v>-32</v>
      </c>
      <c r="I12" s="12"/>
      <c r="J12" s="7">
        <v>32</v>
      </c>
      <c r="K12" s="7">
        <v>29</v>
      </c>
      <c r="L12" s="7">
        <v>32</v>
      </c>
      <c r="M12" s="1">
        <f t="shared" si="3"/>
        <v>-32</v>
      </c>
      <c r="N12" s="13">
        <f t="shared" si="4"/>
        <v>-29</v>
      </c>
      <c r="O12" s="1">
        <f t="shared" si="5"/>
        <v>-32</v>
      </c>
      <c r="P12" s="14"/>
    </row>
    <row r="13" spans="1:16" s="1" customFormat="1" ht="24" customHeight="1">
      <c r="A13" s="7" t="s">
        <v>30</v>
      </c>
      <c r="B13" s="8">
        <v>2513200112</v>
      </c>
      <c r="C13" s="7">
        <v>24</v>
      </c>
      <c r="D13" s="7">
        <v>25</v>
      </c>
      <c r="E13" s="7">
        <v>9</v>
      </c>
      <c r="F13" s="9">
        <f t="shared" si="0"/>
        <v>-24</v>
      </c>
      <c r="G13" s="9">
        <f t="shared" si="1"/>
        <v>-25</v>
      </c>
      <c r="H13" s="9">
        <f t="shared" si="2"/>
        <v>-9</v>
      </c>
      <c r="I13" s="12"/>
      <c r="J13" s="7">
        <v>21</v>
      </c>
      <c r="K13" s="7">
        <v>24</v>
      </c>
      <c r="L13" s="7">
        <v>9</v>
      </c>
      <c r="M13" s="1">
        <f t="shared" si="3"/>
        <v>-21</v>
      </c>
      <c r="N13" s="13">
        <f t="shared" si="4"/>
        <v>-24</v>
      </c>
      <c r="O13" s="1">
        <f t="shared" si="5"/>
        <v>-9</v>
      </c>
      <c r="P13" s="14"/>
    </row>
    <row r="14" spans="1:16" s="1" customFormat="1" ht="24" customHeight="1">
      <c r="A14" s="7" t="s">
        <v>31</v>
      </c>
      <c r="B14" s="8">
        <v>2513200113</v>
      </c>
      <c r="C14" s="7">
        <v>29</v>
      </c>
      <c r="D14" s="7">
        <v>33</v>
      </c>
      <c r="E14" s="7">
        <v>19</v>
      </c>
      <c r="F14" s="9">
        <f t="shared" si="0"/>
        <v>-29</v>
      </c>
      <c r="G14" s="9">
        <f t="shared" si="1"/>
        <v>-33</v>
      </c>
      <c r="H14" s="9">
        <f t="shared" si="2"/>
        <v>-19</v>
      </c>
      <c r="I14" s="12"/>
      <c r="J14" s="7">
        <v>30</v>
      </c>
      <c r="K14" s="7">
        <v>37</v>
      </c>
      <c r="L14" s="7">
        <v>19</v>
      </c>
      <c r="M14" s="1">
        <f t="shared" si="3"/>
        <v>-30</v>
      </c>
      <c r="N14" s="13">
        <f t="shared" si="4"/>
        <v>-37</v>
      </c>
      <c r="O14" s="1">
        <f t="shared" si="5"/>
        <v>-19</v>
      </c>
      <c r="P14" s="14"/>
    </row>
    <row r="15" spans="1:16" s="1" customFormat="1" ht="24" customHeight="1">
      <c r="A15" s="7" t="s">
        <v>32</v>
      </c>
      <c r="B15" s="10">
        <v>2513200114</v>
      </c>
      <c r="C15" s="7">
        <v>40</v>
      </c>
      <c r="D15" s="7">
        <v>46</v>
      </c>
      <c r="E15" s="7">
        <v>40</v>
      </c>
      <c r="F15" s="9">
        <f t="shared" si="0"/>
        <v>-40</v>
      </c>
      <c r="G15" s="9">
        <f t="shared" si="1"/>
        <v>-46</v>
      </c>
      <c r="H15" s="9">
        <f t="shared" si="2"/>
        <v>-40</v>
      </c>
      <c r="I15" s="12"/>
      <c r="J15" s="7">
        <v>40</v>
      </c>
      <c r="K15" s="7">
        <v>45</v>
      </c>
      <c r="L15" s="7">
        <v>40</v>
      </c>
      <c r="M15" s="1">
        <f t="shared" si="3"/>
        <v>-40</v>
      </c>
      <c r="N15" s="13">
        <f t="shared" si="4"/>
        <v>-45</v>
      </c>
      <c r="O15" s="1">
        <f t="shared" si="5"/>
        <v>-40</v>
      </c>
      <c r="P15" s="14"/>
    </row>
    <row r="16" spans="1:16" s="1" customFormat="1" ht="24" customHeight="1">
      <c r="A16" s="7" t="s">
        <v>33</v>
      </c>
      <c r="B16" s="10">
        <v>2513200115</v>
      </c>
      <c r="C16" s="7">
        <v>38</v>
      </c>
      <c r="D16" s="7">
        <v>37</v>
      </c>
      <c r="E16" s="7">
        <v>28</v>
      </c>
      <c r="F16" s="9">
        <f t="shared" si="0"/>
        <v>-38</v>
      </c>
      <c r="G16" s="9">
        <f t="shared" si="1"/>
        <v>-37</v>
      </c>
      <c r="H16" s="9">
        <f t="shared" si="2"/>
        <v>-28</v>
      </c>
      <c r="I16" s="12"/>
      <c r="J16" s="7">
        <v>39</v>
      </c>
      <c r="K16" s="7">
        <v>38</v>
      </c>
      <c r="L16" s="7">
        <v>28</v>
      </c>
      <c r="M16" s="1">
        <f t="shared" si="3"/>
        <v>-39</v>
      </c>
      <c r="N16" s="13">
        <f t="shared" si="4"/>
        <v>-38</v>
      </c>
      <c r="O16" s="1">
        <f t="shared" si="5"/>
        <v>-28</v>
      </c>
      <c r="P16" s="14"/>
    </row>
    <row r="17" spans="1:16" s="1" customFormat="1" ht="24" customHeight="1">
      <c r="A17" s="7" t="s">
        <v>34</v>
      </c>
      <c r="B17" s="8">
        <v>2513200116</v>
      </c>
      <c r="C17" s="7">
        <v>9</v>
      </c>
      <c r="D17" s="7">
        <v>4</v>
      </c>
      <c r="E17" s="7">
        <v>7</v>
      </c>
      <c r="F17" s="9">
        <f t="shared" si="0"/>
        <v>-9</v>
      </c>
      <c r="G17" s="9">
        <f t="shared" si="1"/>
        <v>-4</v>
      </c>
      <c r="H17" s="9">
        <f t="shared" si="2"/>
        <v>-7</v>
      </c>
      <c r="I17" s="12"/>
      <c r="J17" s="7">
        <v>8</v>
      </c>
      <c r="K17" s="7">
        <v>8</v>
      </c>
      <c r="L17" s="7">
        <v>7</v>
      </c>
      <c r="M17" s="1">
        <f t="shared" si="3"/>
        <v>-8</v>
      </c>
      <c r="N17" s="13">
        <f t="shared" si="4"/>
        <v>-8</v>
      </c>
      <c r="O17" s="1">
        <f t="shared" si="5"/>
        <v>-7</v>
      </c>
      <c r="P17" s="14"/>
    </row>
    <row r="18" spans="1:16" s="1" customFormat="1" ht="24" customHeight="1">
      <c r="A18" s="7" t="s">
        <v>35</v>
      </c>
      <c r="B18" s="8">
        <v>2513200117</v>
      </c>
      <c r="C18" s="7">
        <v>5</v>
      </c>
      <c r="D18" s="7">
        <v>2</v>
      </c>
      <c r="E18" s="7">
        <v>8</v>
      </c>
      <c r="F18" s="9">
        <f t="shared" si="0"/>
        <v>-5</v>
      </c>
      <c r="G18" s="9">
        <f t="shared" si="1"/>
        <v>-2</v>
      </c>
      <c r="H18" s="9">
        <f t="shared" si="2"/>
        <v>-8</v>
      </c>
      <c r="I18" s="12"/>
      <c r="J18" s="7">
        <v>1</v>
      </c>
      <c r="K18" s="7">
        <v>3</v>
      </c>
      <c r="L18" s="7">
        <v>8</v>
      </c>
      <c r="M18" s="1">
        <f t="shared" si="3"/>
        <v>-1</v>
      </c>
      <c r="N18" s="13">
        <f t="shared" si="4"/>
        <v>-3</v>
      </c>
      <c r="O18" s="1">
        <f t="shared" si="5"/>
        <v>-8</v>
      </c>
      <c r="P18" s="14"/>
    </row>
    <row r="19" spans="1:16" s="1" customFormat="1" ht="24" customHeight="1">
      <c r="A19" s="7" t="s">
        <v>36</v>
      </c>
      <c r="B19" s="8">
        <v>2513200118</v>
      </c>
      <c r="C19" s="7">
        <v>24</v>
      </c>
      <c r="D19" s="7">
        <v>8</v>
      </c>
      <c r="E19" s="7">
        <v>23</v>
      </c>
      <c r="F19" s="9">
        <f t="shared" si="0"/>
        <v>-24</v>
      </c>
      <c r="G19" s="9">
        <f t="shared" si="1"/>
        <v>-8</v>
      </c>
      <c r="H19" s="9">
        <f t="shared" si="2"/>
        <v>-23</v>
      </c>
      <c r="I19" s="12"/>
      <c r="J19" s="7">
        <v>29</v>
      </c>
      <c r="K19" s="7">
        <v>20</v>
      </c>
      <c r="L19" s="7">
        <v>23</v>
      </c>
      <c r="M19" s="1">
        <f t="shared" si="3"/>
        <v>-29</v>
      </c>
      <c r="N19" s="13">
        <f t="shared" si="4"/>
        <v>-20</v>
      </c>
      <c r="O19" s="1">
        <f t="shared" si="5"/>
        <v>-23</v>
      </c>
      <c r="P19" s="14"/>
    </row>
    <row r="20" spans="1:16" s="1" customFormat="1" ht="24" customHeight="1">
      <c r="A20" s="7" t="s">
        <v>37</v>
      </c>
      <c r="B20" s="8">
        <v>2513200119</v>
      </c>
      <c r="C20" s="7">
        <v>22</v>
      </c>
      <c r="D20" s="7">
        <v>13</v>
      </c>
      <c r="E20" s="7">
        <v>12</v>
      </c>
      <c r="F20" s="9">
        <f t="shared" si="0"/>
        <v>-22</v>
      </c>
      <c r="G20" s="9">
        <f t="shared" si="1"/>
        <v>-13</v>
      </c>
      <c r="H20" s="9">
        <f t="shared" si="2"/>
        <v>-12</v>
      </c>
      <c r="I20" s="12"/>
      <c r="J20" s="7">
        <v>14</v>
      </c>
      <c r="K20" s="7">
        <v>14</v>
      </c>
      <c r="L20" s="7">
        <v>12</v>
      </c>
      <c r="M20" s="1">
        <f t="shared" si="3"/>
        <v>-14</v>
      </c>
      <c r="N20" s="13">
        <f t="shared" si="4"/>
        <v>-14</v>
      </c>
      <c r="O20" s="1">
        <f t="shared" si="5"/>
        <v>-12</v>
      </c>
      <c r="P20" s="14"/>
    </row>
    <row r="21" spans="1:16" s="1" customFormat="1" ht="24" customHeight="1">
      <c r="A21" s="7" t="s">
        <v>38</v>
      </c>
      <c r="B21" s="8">
        <v>2513200120</v>
      </c>
      <c r="C21" s="7">
        <v>37</v>
      </c>
      <c r="D21" s="7">
        <v>29</v>
      </c>
      <c r="E21" s="7">
        <v>13</v>
      </c>
      <c r="F21" s="9">
        <f t="shared" si="0"/>
        <v>-37</v>
      </c>
      <c r="G21" s="9">
        <f t="shared" si="1"/>
        <v>-29</v>
      </c>
      <c r="H21" s="9">
        <f t="shared" si="2"/>
        <v>-13</v>
      </c>
      <c r="I21" s="12"/>
      <c r="J21" s="7">
        <v>34</v>
      </c>
      <c r="K21" s="7">
        <v>27</v>
      </c>
      <c r="L21" s="7">
        <v>13</v>
      </c>
      <c r="M21" s="1">
        <f t="shared" si="3"/>
        <v>-34</v>
      </c>
      <c r="N21" s="13">
        <f t="shared" si="4"/>
        <v>-27</v>
      </c>
      <c r="O21" s="1">
        <f t="shared" si="5"/>
        <v>-13</v>
      </c>
      <c r="P21" s="14"/>
    </row>
    <row r="22" spans="1:16" s="1" customFormat="1" ht="24" customHeight="1">
      <c r="A22" s="7" t="s">
        <v>39</v>
      </c>
      <c r="B22" s="8">
        <v>2513200121</v>
      </c>
      <c r="C22" s="7">
        <v>7</v>
      </c>
      <c r="D22" s="7">
        <v>5</v>
      </c>
      <c r="E22" s="7">
        <v>2</v>
      </c>
      <c r="F22" s="9">
        <f t="shared" si="0"/>
        <v>-7</v>
      </c>
      <c r="G22" s="9">
        <f t="shared" si="1"/>
        <v>-5</v>
      </c>
      <c r="H22" s="9">
        <f t="shared" si="2"/>
        <v>-2</v>
      </c>
      <c r="I22" s="12"/>
      <c r="J22" s="7">
        <v>4</v>
      </c>
      <c r="K22" s="7">
        <v>4</v>
      </c>
      <c r="L22" s="7">
        <v>2</v>
      </c>
      <c r="M22" s="1">
        <f t="shared" si="3"/>
        <v>-4</v>
      </c>
      <c r="N22" s="13">
        <f t="shared" si="4"/>
        <v>-4</v>
      </c>
      <c r="O22" s="1">
        <f t="shared" si="5"/>
        <v>-2</v>
      </c>
      <c r="P22" s="14"/>
    </row>
    <row r="23" spans="1:16" s="1" customFormat="1" ht="24" customHeight="1">
      <c r="A23" s="7" t="s">
        <v>40</v>
      </c>
      <c r="B23" s="8">
        <v>2513200122</v>
      </c>
      <c r="C23" s="7">
        <v>3</v>
      </c>
      <c r="D23" s="7">
        <v>7</v>
      </c>
      <c r="E23" s="7">
        <v>9</v>
      </c>
      <c r="F23" s="9">
        <f t="shared" si="0"/>
        <v>-3</v>
      </c>
      <c r="G23" s="9">
        <f t="shared" si="1"/>
        <v>-7</v>
      </c>
      <c r="H23" s="9">
        <f t="shared" si="2"/>
        <v>-9</v>
      </c>
      <c r="I23" s="12"/>
      <c r="J23" s="7">
        <v>9</v>
      </c>
      <c r="K23" s="7">
        <v>7</v>
      </c>
      <c r="L23" s="7">
        <v>9</v>
      </c>
      <c r="M23" s="1">
        <f t="shared" si="3"/>
        <v>-9</v>
      </c>
      <c r="N23" s="13">
        <f t="shared" si="4"/>
        <v>-7</v>
      </c>
      <c r="O23" s="1">
        <f t="shared" si="5"/>
        <v>-9</v>
      </c>
      <c r="P23" s="14"/>
    </row>
    <row r="24" spans="1:16" s="1" customFormat="1" ht="24" customHeight="1">
      <c r="A24" s="7" t="s">
        <v>41</v>
      </c>
      <c r="B24" s="8">
        <v>2513200123</v>
      </c>
      <c r="C24" s="7">
        <v>26</v>
      </c>
      <c r="D24" s="7">
        <v>35</v>
      </c>
      <c r="E24" s="7">
        <v>26</v>
      </c>
      <c r="F24" s="9">
        <f t="shared" si="0"/>
        <v>-26</v>
      </c>
      <c r="G24" s="9">
        <f t="shared" si="1"/>
        <v>-35</v>
      </c>
      <c r="H24" s="9">
        <f t="shared" si="2"/>
        <v>-26</v>
      </c>
      <c r="I24" s="12"/>
      <c r="J24" s="7">
        <v>33</v>
      </c>
      <c r="K24" s="7">
        <v>42</v>
      </c>
      <c r="L24" s="7">
        <v>26</v>
      </c>
      <c r="M24" s="1">
        <f t="shared" si="3"/>
        <v>-33</v>
      </c>
      <c r="N24" s="13">
        <f t="shared" si="4"/>
        <v>-42</v>
      </c>
      <c r="O24" s="1">
        <f t="shared" si="5"/>
        <v>-26</v>
      </c>
      <c r="P24" s="14"/>
    </row>
    <row r="25" spans="1:16" s="1" customFormat="1" ht="24" customHeight="1">
      <c r="A25" s="7" t="s">
        <v>42</v>
      </c>
      <c r="B25" s="8">
        <v>2513200124</v>
      </c>
      <c r="C25" s="7">
        <v>26</v>
      </c>
      <c r="D25" s="7">
        <v>45</v>
      </c>
      <c r="E25" s="7">
        <v>42</v>
      </c>
      <c r="F25" s="9">
        <f t="shared" si="0"/>
        <v>-26</v>
      </c>
      <c r="G25" s="9">
        <f t="shared" si="1"/>
        <v>-45</v>
      </c>
      <c r="H25" s="9">
        <f t="shared" si="2"/>
        <v>-42</v>
      </c>
      <c r="I25" s="12"/>
      <c r="J25" s="7">
        <v>27</v>
      </c>
      <c r="K25" s="7">
        <v>40</v>
      </c>
      <c r="L25" s="7">
        <v>42</v>
      </c>
      <c r="M25" s="1">
        <f t="shared" si="3"/>
        <v>-27</v>
      </c>
      <c r="N25" s="13">
        <f t="shared" si="4"/>
        <v>-40</v>
      </c>
      <c r="O25" s="1">
        <f t="shared" si="5"/>
        <v>-42</v>
      </c>
      <c r="P25" s="14"/>
    </row>
    <row r="26" spans="1:16" s="1" customFormat="1" ht="24" customHeight="1">
      <c r="A26" s="7" t="s">
        <v>43</v>
      </c>
      <c r="B26" s="8">
        <v>2513200125</v>
      </c>
      <c r="C26" s="7">
        <v>12</v>
      </c>
      <c r="D26" s="7">
        <v>44</v>
      </c>
      <c r="E26" s="7">
        <v>43</v>
      </c>
      <c r="F26" s="9">
        <f t="shared" si="0"/>
        <v>-12</v>
      </c>
      <c r="G26" s="9">
        <f t="shared" si="1"/>
        <v>-44</v>
      </c>
      <c r="H26" s="9">
        <f t="shared" si="2"/>
        <v>-43</v>
      </c>
      <c r="I26" s="12"/>
      <c r="J26" s="7">
        <v>15</v>
      </c>
      <c r="K26" s="7">
        <v>43</v>
      </c>
      <c r="L26" s="7">
        <v>43</v>
      </c>
      <c r="M26" s="1">
        <f t="shared" si="3"/>
        <v>-15</v>
      </c>
      <c r="N26" s="13">
        <f t="shared" si="4"/>
        <v>-43</v>
      </c>
      <c r="O26" s="1">
        <f t="shared" si="5"/>
        <v>-43</v>
      </c>
      <c r="P26" s="14"/>
    </row>
    <row r="27" spans="1:16" s="1" customFormat="1" ht="24" customHeight="1">
      <c r="A27" s="7" t="s">
        <v>44</v>
      </c>
      <c r="B27" s="8">
        <v>2513200126</v>
      </c>
      <c r="C27" s="7">
        <v>17</v>
      </c>
      <c r="D27" s="7">
        <v>5</v>
      </c>
      <c r="E27" s="7">
        <v>5</v>
      </c>
      <c r="F27" s="9">
        <f t="shared" si="0"/>
        <v>-17</v>
      </c>
      <c r="G27" s="9">
        <f t="shared" si="1"/>
        <v>-5</v>
      </c>
      <c r="H27" s="9">
        <f t="shared" si="2"/>
        <v>-5</v>
      </c>
      <c r="I27" s="12"/>
      <c r="J27" s="7">
        <v>10</v>
      </c>
      <c r="K27" s="7">
        <v>6</v>
      </c>
      <c r="L27" s="7">
        <v>5</v>
      </c>
      <c r="M27" s="1">
        <f t="shared" si="3"/>
        <v>-10</v>
      </c>
      <c r="N27" s="13">
        <f t="shared" si="4"/>
        <v>-6</v>
      </c>
      <c r="O27" s="1">
        <f t="shared" si="5"/>
        <v>-5</v>
      </c>
      <c r="P27" s="14"/>
    </row>
    <row r="28" spans="1:16" s="1" customFormat="1" ht="24" customHeight="1">
      <c r="A28" s="7" t="s">
        <v>45</v>
      </c>
      <c r="B28" s="8">
        <v>2513200127</v>
      </c>
      <c r="C28" s="7">
        <v>45</v>
      </c>
      <c r="D28" s="7">
        <v>42</v>
      </c>
      <c r="E28" s="7">
        <v>44</v>
      </c>
      <c r="F28" s="9">
        <f t="shared" si="0"/>
        <v>-45</v>
      </c>
      <c r="G28" s="9">
        <f t="shared" si="1"/>
        <v>-42</v>
      </c>
      <c r="H28" s="9">
        <f t="shared" si="2"/>
        <v>-44</v>
      </c>
      <c r="I28" s="12"/>
      <c r="J28" s="7">
        <v>42</v>
      </c>
      <c r="K28" s="7">
        <v>36</v>
      </c>
      <c r="L28" s="7">
        <v>44</v>
      </c>
      <c r="M28" s="1">
        <f t="shared" si="3"/>
        <v>-42</v>
      </c>
      <c r="N28" s="13">
        <f t="shared" si="4"/>
        <v>-36</v>
      </c>
      <c r="O28" s="1">
        <f t="shared" si="5"/>
        <v>-44</v>
      </c>
      <c r="P28" s="14"/>
    </row>
    <row r="29" spans="1:16" s="1" customFormat="1" ht="24" customHeight="1">
      <c r="A29" s="7" t="s">
        <v>46</v>
      </c>
      <c r="B29" s="8">
        <v>2513200128</v>
      </c>
      <c r="C29" s="7">
        <v>30</v>
      </c>
      <c r="D29" s="7">
        <v>19</v>
      </c>
      <c r="E29" s="7">
        <v>33</v>
      </c>
      <c r="F29" s="9">
        <f t="shared" si="0"/>
        <v>-30</v>
      </c>
      <c r="G29" s="9">
        <f t="shared" si="1"/>
        <v>-19</v>
      </c>
      <c r="H29" s="9">
        <f t="shared" si="2"/>
        <v>-33</v>
      </c>
      <c r="I29" s="12"/>
      <c r="J29" s="7">
        <v>31</v>
      </c>
      <c r="K29" s="7">
        <v>23</v>
      </c>
      <c r="L29" s="7">
        <v>33</v>
      </c>
      <c r="M29" s="1">
        <f t="shared" si="3"/>
        <v>-31</v>
      </c>
      <c r="N29" s="13">
        <f t="shared" si="4"/>
        <v>-23</v>
      </c>
      <c r="O29" s="1">
        <f t="shared" si="5"/>
        <v>-33</v>
      </c>
      <c r="P29" s="14"/>
    </row>
    <row r="30" spans="1:16" s="1" customFormat="1" ht="24" customHeight="1">
      <c r="A30" s="7" t="s">
        <v>47</v>
      </c>
      <c r="B30" s="8">
        <v>2513200129</v>
      </c>
      <c r="C30" s="7">
        <v>2</v>
      </c>
      <c r="D30" s="7">
        <v>3</v>
      </c>
      <c r="E30" s="7">
        <v>18</v>
      </c>
      <c r="F30" s="9">
        <f t="shared" si="0"/>
        <v>-2</v>
      </c>
      <c r="G30" s="9">
        <f t="shared" si="1"/>
        <v>-3</v>
      </c>
      <c r="H30" s="9">
        <f t="shared" si="2"/>
        <v>-18</v>
      </c>
      <c r="I30" s="12"/>
      <c r="J30" s="7">
        <v>6</v>
      </c>
      <c r="K30" s="7">
        <v>9</v>
      </c>
      <c r="L30" s="7">
        <v>18</v>
      </c>
      <c r="M30" s="1">
        <f t="shared" si="3"/>
        <v>-6</v>
      </c>
      <c r="N30" s="13">
        <f t="shared" si="4"/>
        <v>-9</v>
      </c>
      <c r="O30" s="1">
        <f t="shared" si="5"/>
        <v>-18</v>
      </c>
      <c r="P30" s="14"/>
    </row>
    <row r="31" spans="1:16" s="1" customFormat="1" ht="24" customHeight="1">
      <c r="A31" s="7" t="s">
        <v>48</v>
      </c>
      <c r="B31" s="8">
        <v>2513200130</v>
      </c>
      <c r="C31" s="7">
        <v>19</v>
      </c>
      <c r="D31" s="7">
        <v>26</v>
      </c>
      <c r="E31" s="7">
        <v>34</v>
      </c>
      <c r="F31" s="9">
        <f t="shared" si="0"/>
        <v>-19</v>
      </c>
      <c r="G31" s="9">
        <f t="shared" si="1"/>
        <v>-26</v>
      </c>
      <c r="H31" s="9">
        <f t="shared" si="2"/>
        <v>-34</v>
      </c>
      <c r="I31" s="12"/>
      <c r="J31" s="7">
        <v>13</v>
      </c>
      <c r="K31" s="7">
        <v>28</v>
      </c>
      <c r="L31" s="7">
        <v>34</v>
      </c>
      <c r="M31" s="1">
        <f t="shared" si="3"/>
        <v>-13</v>
      </c>
      <c r="N31" s="13">
        <f t="shared" si="4"/>
        <v>-28</v>
      </c>
      <c r="O31" s="1">
        <f t="shared" si="5"/>
        <v>-34</v>
      </c>
      <c r="P31" s="14"/>
    </row>
    <row r="32" spans="1:16" s="1" customFormat="1" ht="24" customHeight="1">
      <c r="A32" s="7" t="s">
        <v>49</v>
      </c>
      <c r="B32" s="8">
        <v>2513200131</v>
      </c>
      <c r="C32" s="7">
        <v>22</v>
      </c>
      <c r="D32" s="7">
        <v>21</v>
      </c>
      <c r="E32" s="7">
        <v>27</v>
      </c>
      <c r="F32" s="9">
        <f t="shared" si="0"/>
        <v>-22</v>
      </c>
      <c r="G32" s="9">
        <f t="shared" si="1"/>
        <v>-21</v>
      </c>
      <c r="H32" s="9">
        <f t="shared" si="2"/>
        <v>-27</v>
      </c>
      <c r="I32" s="12"/>
      <c r="J32" s="7">
        <v>24</v>
      </c>
      <c r="K32" s="7">
        <v>22</v>
      </c>
      <c r="L32" s="7">
        <v>27</v>
      </c>
      <c r="M32" s="1">
        <f t="shared" si="3"/>
        <v>-24</v>
      </c>
      <c r="N32" s="13">
        <f t="shared" si="4"/>
        <v>-22</v>
      </c>
      <c r="O32" s="1">
        <f t="shared" si="5"/>
        <v>-27</v>
      </c>
      <c r="P32" s="14"/>
    </row>
    <row r="33" spans="1:16" s="1" customFormat="1" ht="24" customHeight="1">
      <c r="A33" s="7" t="s">
        <v>50</v>
      </c>
      <c r="B33" s="8">
        <v>2513200132</v>
      </c>
      <c r="C33" s="7">
        <v>1</v>
      </c>
      <c r="D33" s="7">
        <v>9</v>
      </c>
      <c r="E33" s="7">
        <v>3</v>
      </c>
      <c r="F33" s="9">
        <f t="shared" si="0"/>
        <v>-1</v>
      </c>
      <c r="G33" s="9">
        <f t="shared" si="1"/>
        <v>-9</v>
      </c>
      <c r="H33" s="9">
        <f t="shared" si="2"/>
        <v>-3</v>
      </c>
      <c r="I33" s="12"/>
      <c r="J33" s="7">
        <v>2</v>
      </c>
      <c r="K33" s="7">
        <v>2</v>
      </c>
      <c r="L33" s="7">
        <v>3</v>
      </c>
      <c r="M33" s="1">
        <f t="shared" si="3"/>
        <v>-2</v>
      </c>
      <c r="N33" s="13">
        <f t="shared" si="4"/>
        <v>-2</v>
      </c>
      <c r="O33" s="1">
        <f t="shared" si="5"/>
        <v>-3</v>
      </c>
      <c r="P33" s="14"/>
    </row>
    <row r="34" spans="1:16" s="1" customFormat="1" ht="24" customHeight="1">
      <c r="A34" s="7" t="s">
        <v>51</v>
      </c>
      <c r="B34" s="8">
        <v>2513200133</v>
      </c>
      <c r="C34" s="7">
        <v>15</v>
      </c>
      <c r="D34" s="7">
        <v>20</v>
      </c>
      <c r="E34" s="7">
        <v>17</v>
      </c>
      <c r="F34" s="9">
        <f t="shared" si="0"/>
        <v>-15</v>
      </c>
      <c r="G34" s="9">
        <f t="shared" si="1"/>
        <v>-20</v>
      </c>
      <c r="H34" s="9">
        <f t="shared" si="2"/>
        <v>-17</v>
      </c>
      <c r="I34" s="12"/>
      <c r="J34" s="7">
        <v>19</v>
      </c>
      <c r="K34" s="7">
        <v>21</v>
      </c>
      <c r="L34" s="7">
        <v>17</v>
      </c>
      <c r="M34" s="1">
        <f t="shared" si="3"/>
        <v>-19</v>
      </c>
      <c r="N34" s="13">
        <f t="shared" si="4"/>
        <v>-21</v>
      </c>
      <c r="O34" s="1">
        <f t="shared" si="5"/>
        <v>-17</v>
      </c>
      <c r="P34" s="14"/>
    </row>
    <row r="35" spans="1:16" s="1" customFormat="1" ht="24" customHeight="1">
      <c r="A35" s="7" t="s">
        <v>52</v>
      </c>
      <c r="B35" s="8">
        <v>2513200134</v>
      </c>
      <c r="C35" s="7">
        <v>21</v>
      </c>
      <c r="D35" s="7">
        <v>23</v>
      </c>
      <c r="E35" s="7">
        <v>37</v>
      </c>
      <c r="F35" s="9">
        <f t="shared" si="0"/>
        <v>-21</v>
      </c>
      <c r="G35" s="9">
        <f t="shared" si="1"/>
        <v>-23</v>
      </c>
      <c r="H35" s="9">
        <f t="shared" si="2"/>
        <v>-37</v>
      </c>
      <c r="I35" s="12"/>
      <c r="J35" s="7">
        <v>12</v>
      </c>
      <c r="K35" s="7">
        <v>12</v>
      </c>
      <c r="L35" s="7">
        <v>37</v>
      </c>
      <c r="M35" s="1">
        <f t="shared" si="3"/>
        <v>-12</v>
      </c>
      <c r="N35" s="13">
        <f t="shared" si="4"/>
        <v>-12</v>
      </c>
      <c r="O35" s="1">
        <f t="shared" si="5"/>
        <v>-37</v>
      </c>
      <c r="P35" s="14"/>
    </row>
    <row r="36" spans="1:16" s="1" customFormat="1" ht="24" customHeight="1">
      <c r="A36" s="7" t="s">
        <v>53</v>
      </c>
      <c r="B36" s="8">
        <v>2513200135</v>
      </c>
      <c r="C36" s="7">
        <v>10</v>
      </c>
      <c r="D36" s="7">
        <v>9</v>
      </c>
      <c r="E36" s="7">
        <v>6</v>
      </c>
      <c r="F36" s="9">
        <f t="shared" si="0"/>
        <v>-10</v>
      </c>
      <c r="G36" s="9">
        <f t="shared" si="1"/>
        <v>-9</v>
      </c>
      <c r="H36" s="9">
        <f t="shared" si="2"/>
        <v>-6</v>
      </c>
      <c r="I36" s="12"/>
      <c r="J36" s="7">
        <v>11</v>
      </c>
      <c r="K36" s="7">
        <v>5</v>
      </c>
      <c r="L36" s="7">
        <v>6</v>
      </c>
      <c r="M36" s="1">
        <f t="shared" si="3"/>
        <v>-11</v>
      </c>
      <c r="N36" s="13">
        <f t="shared" si="4"/>
        <v>-5</v>
      </c>
      <c r="O36" s="1">
        <f t="shared" si="5"/>
        <v>-6</v>
      </c>
      <c r="P36" s="14"/>
    </row>
    <row r="37" spans="1:16" s="1" customFormat="1" ht="24" customHeight="1">
      <c r="A37" s="7" t="s">
        <v>54</v>
      </c>
      <c r="B37" s="8">
        <v>2513200136</v>
      </c>
      <c r="C37" s="7">
        <v>30</v>
      </c>
      <c r="D37" s="7">
        <v>15</v>
      </c>
      <c r="E37" s="7">
        <v>11</v>
      </c>
      <c r="F37" s="9">
        <f t="shared" si="0"/>
        <v>-30</v>
      </c>
      <c r="G37" s="9">
        <f t="shared" si="1"/>
        <v>-15</v>
      </c>
      <c r="H37" s="9">
        <f t="shared" si="2"/>
        <v>-11</v>
      </c>
      <c r="I37" s="12"/>
      <c r="J37" s="7">
        <v>28</v>
      </c>
      <c r="K37" s="7">
        <v>10</v>
      </c>
      <c r="L37" s="7">
        <v>11</v>
      </c>
      <c r="M37" s="1">
        <f t="shared" si="3"/>
        <v>-28</v>
      </c>
      <c r="N37" s="13">
        <f t="shared" si="4"/>
        <v>-10</v>
      </c>
      <c r="O37" s="1">
        <f t="shared" si="5"/>
        <v>-11</v>
      </c>
      <c r="P37" s="14"/>
    </row>
    <row r="38" spans="1:16" s="1" customFormat="1" ht="24" customHeight="1">
      <c r="A38" s="7" t="s">
        <v>55</v>
      </c>
      <c r="B38" s="8">
        <v>2513200137</v>
      </c>
      <c r="C38" s="7">
        <v>44</v>
      </c>
      <c r="D38" s="7">
        <v>41</v>
      </c>
      <c r="E38" s="7">
        <v>45</v>
      </c>
      <c r="F38" s="9">
        <f t="shared" si="0"/>
        <v>-44</v>
      </c>
      <c r="G38" s="9">
        <f t="shared" si="1"/>
        <v>-41</v>
      </c>
      <c r="H38" s="9">
        <f t="shared" si="2"/>
        <v>-45</v>
      </c>
      <c r="I38" s="12"/>
      <c r="J38" s="7">
        <v>45</v>
      </c>
      <c r="K38" s="7">
        <v>44</v>
      </c>
      <c r="L38" s="7">
        <v>45</v>
      </c>
      <c r="M38" s="1">
        <f t="shared" si="3"/>
        <v>-45</v>
      </c>
      <c r="N38" s="13">
        <f t="shared" si="4"/>
        <v>-44</v>
      </c>
      <c r="O38" s="1">
        <f t="shared" si="5"/>
        <v>-45</v>
      </c>
      <c r="P38" s="14"/>
    </row>
    <row r="39" spans="1:16" s="1" customFormat="1" ht="24" customHeight="1">
      <c r="A39" s="7" t="s">
        <v>56</v>
      </c>
      <c r="B39" s="8">
        <v>2513200139</v>
      </c>
      <c r="C39" s="7">
        <v>6</v>
      </c>
      <c r="D39" s="7">
        <v>1</v>
      </c>
      <c r="E39" s="7">
        <v>1</v>
      </c>
      <c r="F39" s="9">
        <f t="shared" si="0"/>
        <v>-6</v>
      </c>
      <c r="G39" s="9">
        <f t="shared" si="1"/>
        <v>-1</v>
      </c>
      <c r="H39" s="9">
        <f t="shared" si="2"/>
        <v>-1</v>
      </c>
      <c r="I39" s="12"/>
      <c r="J39" s="7">
        <v>3</v>
      </c>
      <c r="K39" s="7">
        <v>1</v>
      </c>
      <c r="L39" s="7">
        <v>1</v>
      </c>
      <c r="M39" s="1">
        <f t="shared" si="3"/>
        <v>-3</v>
      </c>
      <c r="N39" s="13">
        <f t="shared" si="4"/>
        <v>-1</v>
      </c>
      <c r="O39" s="1">
        <f t="shared" si="5"/>
        <v>-1</v>
      </c>
      <c r="P39" s="14"/>
    </row>
    <row r="40" spans="1:16" s="1" customFormat="1" ht="24" customHeight="1">
      <c r="A40" s="7" t="s">
        <v>57</v>
      </c>
      <c r="B40" s="8">
        <v>2513200140</v>
      </c>
      <c r="C40" s="7">
        <v>42</v>
      </c>
      <c r="D40" s="7">
        <v>32</v>
      </c>
      <c r="E40" s="7">
        <v>22</v>
      </c>
      <c r="F40" s="9">
        <f t="shared" si="0"/>
        <v>-42</v>
      </c>
      <c r="G40" s="9">
        <f t="shared" si="1"/>
        <v>-32</v>
      </c>
      <c r="H40" s="9">
        <f t="shared" si="2"/>
        <v>-22</v>
      </c>
      <c r="I40" s="12"/>
      <c r="J40" s="7">
        <v>43</v>
      </c>
      <c r="K40" s="7">
        <v>26</v>
      </c>
      <c r="L40" s="7">
        <v>22</v>
      </c>
      <c r="M40" s="1">
        <f t="shared" si="3"/>
        <v>-43</v>
      </c>
      <c r="N40" s="13">
        <f t="shared" si="4"/>
        <v>-26</v>
      </c>
      <c r="O40" s="1">
        <f t="shared" si="5"/>
        <v>-22</v>
      </c>
      <c r="P40" s="14"/>
    </row>
    <row r="41" spans="1:16" s="1" customFormat="1" ht="24" customHeight="1">
      <c r="A41" s="7" t="s">
        <v>58</v>
      </c>
      <c r="B41" s="8">
        <v>2513200141</v>
      </c>
      <c r="C41" s="7">
        <v>3</v>
      </c>
      <c r="D41" s="7">
        <v>12</v>
      </c>
      <c r="E41" s="7">
        <v>31</v>
      </c>
      <c r="F41" s="9">
        <f t="shared" si="0"/>
        <v>-3</v>
      </c>
      <c r="G41" s="9">
        <f t="shared" si="1"/>
        <v>-12</v>
      </c>
      <c r="H41" s="9">
        <f t="shared" si="2"/>
        <v>-31</v>
      </c>
      <c r="I41" s="12"/>
      <c r="J41" s="7">
        <v>7</v>
      </c>
      <c r="K41" s="7">
        <v>15</v>
      </c>
      <c r="L41" s="7">
        <v>31</v>
      </c>
      <c r="M41" s="1">
        <f t="shared" si="3"/>
        <v>-7</v>
      </c>
      <c r="N41" s="13">
        <f t="shared" si="4"/>
        <v>-15</v>
      </c>
      <c r="O41" s="1">
        <f t="shared" si="5"/>
        <v>-31</v>
      </c>
      <c r="P41" s="14"/>
    </row>
    <row r="42" spans="1:16" s="1" customFormat="1" ht="24" customHeight="1">
      <c r="A42" s="7" t="s">
        <v>59</v>
      </c>
      <c r="B42" s="8">
        <v>2513200142</v>
      </c>
      <c r="C42" s="7">
        <v>32</v>
      </c>
      <c r="D42" s="7">
        <v>23</v>
      </c>
      <c r="E42" s="7">
        <v>25</v>
      </c>
      <c r="F42" s="9">
        <f t="shared" si="0"/>
        <v>-32</v>
      </c>
      <c r="G42" s="9">
        <f t="shared" si="1"/>
        <v>-23</v>
      </c>
      <c r="H42" s="9">
        <f t="shared" si="2"/>
        <v>-25</v>
      </c>
      <c r="I42" s="12"/>
      <c r="J42" s="7">
        <v>26</v>
      </c>
      <c r="K42" s="7">
        <v>19</v>
      </c>
      <c r="L42" s="7">
        <v>25</v>
      </c>
      <c r="M42" s="1">
        <f t="shared" si="3"/>
        <v>-26</v>
      </c>
      <c r="N42" s="13">
        <f t="shared" si="4"/>
        <v>-19</v>
      </c>
      <c r="O42" s="1">
        <f t="shared" si="5"/>
        <v>-25</v>
      </c>
      <c r="P42" s="14"/>
    </row>
    <row r="43" spans="1:16" s="1" customFormat="1" ht="24" customHeight="1">
      <c r="A43" s="7" t="s">
        <v>60</v>
      </c>
      <c r="B43" s="8">
        <v>2513200143</v>
      </c>
      <c r="C43" s="7">
        <v>17</v>
      </c>
      <c r="D43" s="7">
        <v>11</v>
      </c>
      <c r="E43" s="7">
        <v>29</v>
      </c>
      <c r="F43" s="9">
        <f t="shared" si="0"/>
        <v>-17</v>
      </c>
      <c r="G43" s="9">
        <f t="shared" si="1"/>
        <v>-11</v>
      </c>
      <c r="H43" s="9">
        <f t="shared" si="2"/>
        <v>-29</v>
      </c>
      <c r="I43" s="12"/>
      <c r="J43" s="7">
        <v>18</v>
      </c>
      <c r="K43" s="7">
        <v>13</v>
      </c>
      <c r="L43" s="7">
        <v>29</v>
      </c>
      <c r="M43" s="1">
        <f t="shared" si="3"/>
        <v>-18</v>
      </c>
      <c r="N43" s="13">
        <f t="shared" si="4"/>
        <v>-13</v>
      </c>
      <c r="O43" s="1">
        <f t="shared" si="5"/>
        <v>-29</v>
      </c>
      <c r="P43" s="14"/>
    </row>
    <row r="44" spans="1:16" s="1" customFormat="1" ht="24" customHeight="1">
      <c r="A44" s="7" t="s">
        <v>61</v>
      </c>
      <c r="B44" s="8">
        <v>2513200144</v>
      </c>
      <c r="C44" s="7">
        <v>7</v>
      </c>
      <c r="D44" s="7">
        <v>38</v>
      </c>
      <c r="E44" s="7">
        <v>4</v>
      </c>
      <c r="F44" s="9">
        <f t="shared" si="0"/>
        <v>-7</v>
      </c>
      <c r="G44" s="9">
        <f t="shared" si="1"/>
        <v>-38</v>
      </c>
      <c r="H44" s="9">
        <f t="shared" si="2"/>
        <v>-4</v>
      </c>
      <c r="I44" s="12"/>
      <c r="J44" s="7">
        <v>20</v>
      </c>
      <c r="K44" s="7">
        <v>39</v>
      </c>
      <c r="L44" s="7">
        <v>4</v>
      </c>
      <c r="M44" s="1">
        <f t="shared" si="3"/>
        <v>-20</v>
      </c>
      <c r="N44" s="13">
        <f t="shared" si="4"/>
        <v>-39</v>
      </c>
      <c r="O44" s="1">
        <f t="shared" si="5"/>
        <v>-4</v>
      </c>
      <c r="P44" s="14"/>
    </row>
    <row r="45" spans="1:16" s="1" customFormat="1" ht="24" customHeight="1">
      <c r="A45" s="7" t="s">
        <v>62</v>
      </c>
      <c r="B45" s="8">
        <v>2513200145</v>
      </c>
      <c r="C45" s="7">
        <v>26</v>
      </c>
      <c r="D45" s="7">
        <v>26</v>
      </c>
      <c r="E45" s="7">
        <v>35</v>
      </c>
      <c r="F45" s="9">
        <f t="shared" si="0"/>
        <v>-26</v>
      </c>
      <c r="G45" s="9">
        <f t="shared" si="1"/>
        <v>-26</v>
      </c>
      <c r="H45" s="9">
        <f t="shared" si="2"/>
        <v>-35</v>
      </c>
      <c r="I45" s="12"/>
      <c r="J45" s="7">
        <v>23</v>
      </c>
      <c r="K45" s="7">
        <v>33</v>
      </c>
      <c r="L45" s="7">
        <v>35</v>
      </c>
      <c r="M45" s="1">
        <f t="shared" si="3"/>
        <v>-23</v>
      </c>
      <c r="N45" s="13">
        <f t="shared" si="4"/>
        <v>-33</v>
      </c>
      <c r="O45" s="1">
        <f t="shared" si="5"/>
        <v>-35</v>
      </c>
      <c r="P45" s="14"/>
    </row>
    <row r="46" spans="1:16" s="1" customFormat="1" ht="24" customHeight="1">
      <c r="A46" s="7" t="s">
        <v>63</v>
      </c>
      <c r="B46" s="8">
        <v>2605200111</v>
      </c>
      <c r="C46" s="7"/>
      <c r="D46" s="7">
        <v>31</v>
      </c>
      <c r="E46" s="7">
        <v>40</v>
      </c>
      <c r="F46" s="9">
        <f t="shared" si="0"/>
        <v>0</v>
      </c>
      <c r="G46" s="9">
        <f t="shared" si="1"/>
        <v>-31</v>
      </c>
      <c r="H46" s="9">
        <f t="shared" si="2"/>
        <v>-40</v>
      </c>
      <c r="I46" s="12"/>
      <c r="J46" s="7"/>
      <c r="K46" s="7">
        <v>35</v>
      </c>
      <c r="L46" s="7">
        <v>40</v>
      </c>
      <c r="M46" s="1">
        <f t="shared" si="3"/>
        <v>0</v>
      </c>
      <c r="N46" s="13">
        <f t="shared" si="4"/>
        <v>-35</v>
      </c>
      <c r="O46" s="1">
        <f t="shared" si="5"/>
        <v>-40</v>
      </c>
      <c r="P46" s="14"/>
    </row>
    <row r="47" spans="1:16" s="1" customFormat="1" ht="24" customHeight="1">
      <c r="A47" s="7" t="s">
        <v>65</v>
      </c>
      <c r="B47" s="8">
        <v>2605200144</v>
      </c>
      <c r="C47" s="7"/>
      <c r="D47" s="7">
        <v>40</v>
      </c>
      <c r="E47" s="7">
        <v>46</v>
      </c>
      <c r="F47" s="9">
        <f t="shared" si="0"/>
        <v>0</v>
      </c>
      <c r="G47" s="9">
        <f t="shared" si="1"/>
        <v>-40</v>
      </c>
      <c r="H47" s="9">
        <f t="shared" si="2"/>
        <v>-46</v>
      </c>
      <c r="I47" s="12"/>
      <c r="J47" s="7"/>
      <c r="K47" s="7">
        <v>41</v>
      </c>
      <c r="L47" s="7">
        <v>46</v>
      </c>
      <c r="M47" s="1">
        <f t="shared" si="3"/>
        <v>0</v>
      </c>
      <c r="N47" s="13">
        <f t="shared" si="4"/>
        <v>-41</v>
      </c>
      <c r="O47" s="1">
        <f t="shared" si="5"/>
        <v>-46</v>
      </c>
      <c r="P47" s="14"/>
    </row>
    <row r="48" spans="1:16" s="1" customFormat="1" ht="24" customHeight="1">
      <c r="A48" s="7" t="s">
        <v>66</v>
      </c>
      <c r="B48" s="8">
        <v>2811190230</v>
      </c>
      <c r="C48" s="7">
        <v>20</v>
      </c>
      <c r="D48" s="7">
        <v>30</v>
      </c>
      <c r="E48" s="7">
        <v>20</v>
      </c>
      <c r="F48" s="9">
        <f t="shared" si="0"/>
        <v>-20</v>
      </c>
      <c r="G48" s="9">
        <f t="shared" si="1"/>
        <v>-30</v>
      </c>
      <c r="H48" s="9">
        <f t="shared" si="2"/>
        <v>-20</v>
      </c>
      <c r="I48" s="12"/>
      <c r="J48" s="7">
        <v>25</v>
      </c>
      <c r="K48" s="7">
        <v>32</v>
      </c>
      <c r="L48" s="7">
        <v>20</v>
      </c>
      <c r="M48" s="1">
        <f t="shared" si="3"/>
        <v>-25</v>
      </c>
      <c r="N48" s="13">
        <f t="shared" si="4"/>
        <v>-32</v>
      </c>
      <c r="O48" s="1">
        <f t="shared" si="5"/>
        <v>-20</v>
      </c>
      <c r="P48" s="14"/>
    </row>
  </sheetData>
  <mergeCells count="3">
    <mergeCell ref="A1:B1"/>
    <mergeCell ref="C1:E1"/>
    <mergeCell ref="J1:L1"/>
  </mergeCells>
  <phoneticPr fontId="2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>
    <arrUserId title="Range1" rangeCreator="" othersAccessPermission="edit"/>
  </rangeList>
  <rangeList sheetStid="4" master="" otherUserPermission="visible">
    <arrUserId title="Range1" rangeCreator="" othersAccessPermission="edit"/>
  </rangeList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大数据2001班历年智育综测</vt:lpstr>
      <vt:lpstr>综合考评细表（模板）</vt:lpstr>
      <vt:lpstr>大一下综测+智育</vt:lpstr>
      <vt:lpstr>大一上综测+智育</vt:lpstr>
      <vt:lpstr>趋势图</vt:lpstr>
      <vt:lpstr>大数据2001班历年智育综测!_FilterDatabase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淇 胡</cp:lastModifiedBy>
  <dcterms:created xsi:type="dcterms:W3CDTF">2006-09-16T00:00:00Z</dcterms:created>
  <dcterms:modified xsi:type="dcterms:W3CDTF">2025-10-23T06:59:15Z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0389C64F8BF04BA09F5F3507BB8D0DC0_12</vt:lpwstr>
  </property>
  <property fmtid="{D5CDD505-2E9C-101B-9397-08002B2CF9AE}" pid="3" name="KSOProductBuildVer">
    <vt:lpwstr>2052-12.1.0.21915</vt:lpwstr>
  </property>
</Properties>
</file>